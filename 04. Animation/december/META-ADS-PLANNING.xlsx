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s mij" sheetId="1" state="visible" r:id="rId3"/>
    <sheet name="Instellingen" sheetId="2" state="visible" r:id="rId4"/>
    <sheet name="Kalender" sheetId="3" state="visible" r:id="rId5"/>
    <sheet name="Advertenties" sheetId="4" state="visible" r:id="rId6"/>
    <sheet name="Meetplan" sheetId="5" state="visible" r:id="rId7"/>
    <sheet name="Rekensom" sheetId="6" state="visible" r:id="rId8"/>
    <sheet name="Prefligh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<sst xmlns="http://schemas.openxmlformats.org/spreadsheetml/2006/main" count="547" uniqueCount="389">
  <si>
    <t xml:space="preserve">Meta-advertenties decembercampagne "Buddy houdt het lijstje bij": planning</t>
  </si>
  <si>
    <t xml:space="preserve">Wat is dit</t>
  </si>
  <si>
    <t xml:space="preserve">Het schema, de advertentielijst, het meetplan en de rekensom bij december/META-ADS-PLAN.md. Het plan legt het waarom uit, dit bestand rekent en houdt bij.</t>
  </si>
  <si>
    <t xml:space="preserve">Zo gebruik je het</t>
  </si>
  <si>
    <t xml:space="preserve">1. Zet in 'Instellingen' de echte pot (cel B4). Alle dagbudgetten in 'Kalender' en de rekensom passen zich aan.</t>
  </si>
  <si>
    <t xml:space="preserve">2. Gele cellen met blauwe tekst zijn invoer. Zwarte cellen zijn formules: niet overschrijven.</t>
  </si>
  <si>
    <t xml:space="preserve">3. 'Advertenties': vul per advertentie uitgegeven bedrag, landingspaginaweergaven, starts en aankopen in. Kolom 'Beslissing' geeft de regel uit het plan.</t>
  </si>
  <si>
    <t xml:space="preserve">4. 'Meetplan': vul elke maandag de weekcijfers in (Meta 7 dagen klik, GA4 en Mollie/Supabase naast elkaar, nooit optellen).</t>
  </si>
  <si>
    <t xml:space="preserve">5. 'Preflight': alle regels groen voor de eerste euro wordt uitgegeven.</t>
  </si>
  <si>
    <t xml:space="preserve">Aannames die ik niet kon controleren (vervang ze zodra je het weet)</t>
  </si>
  <si>
    <t xml:space="preserve">- Pot december: EUR 400 van het masterplan-budget van EUR 508. De rest (EUR 108) is bedoeld voor de zorgpremie-test van 12 november. Werkelijke bestedingen tot nu toe zijn onbekend.</t>
  </si>
  <si>
    <t xml:space="preserve">- Standard EUR 3,49 incl. btw per maand (21 % btw). Brutomarge 85 % is een aanname (Mollie-kosten, hosting): echte marge ontbreekt.</t>
  </si>
  <si>
    <t xml:space="preserve">- EUR 15 per 'Start aanmelding' komt uit het masterplan (minstens 1 checkout per EUR 15). Checkout naar betaald 35 % is een aanname.</t>
  </si>
  <si>
    <t xml:space="preserve">- Er is geen Meta-benchmark voor dit account gebruikt: de Pixel heeft nog geen aankopen. Alles wat 'verwachting' heet, is een gevoeligheidsrekening en geen voorspelling.</t>
  </si>
  <si>
    <t xml:space="preserve">- Referral-budget is alleen vrijgegeven bij 20 of meer klanten (cel B14). Staat op Nee: dat budget gaat dan naar retargeting.</t>
  </si>
  <si>
    <t xml:space="preserve">Bronnen</t>
  </si>
  <si>
    <t xml:space="preserve">Campagnebestand (Untitled.md), changelog BetaalBuddy van 19 oktober 2026 (masterplan, Clarity- en GA4-cijfers), de ads-skills (Meta Andromeda-playbook, Meta decision system).</t>
  </si>
  <si>
    <t xml:space="preserve">Instellingen en budgetverdeling</t>
  </si>
  <si>
    <t xml:space="preserve">Gele cellen met blauwe tekst zijn invoer. Bedragen in euro.</t>
  </si>
  <si>
    <t xml:space="preserve">Pot december (EUR)</t>
  </si>
  <si>
    <t xml:space="preserve">Aanname: EUR 508 masterplan min EUR 108 voor de test van 12 nov. Vervang door het echte restbudget.</t>
  </si>
  <si>
    <t xml:space="preserve">Prijs Standard per maand incl. btw (EUR)</t>
  </si>
  <si>
    <t xml:space="preserve">Campagnebestand: alleen Standard noemen.</t>
  </si>
  <si>
    <t xml:space="preserve">Btw</t>
  </si>
  <si>
    <t xml:space="preserve">Nederlands standaardtarief.</t>
  </si>
  <si>
    <t xml:space="preserve">Opbrengst per maand excl. btw (EUR)</t>
  </si>
  <si>
    <t xml:space="preserve">Formule: prijs / (1 + btw).</t>
  </si>
  <si>
    <t xml:space="preserve">Brutomarge op abonnement</t>
  </si>
  <si>
    <t xml:space="preserve">AANNAME: Mollie-kosten per betaling en hosting zijn niet verwerkt. Echte marge ontbreekt.</t>
  </si>
  <si>
    <t xml:space="preserve">Doel: kosten per 'Start aanmelding' (EUR)</t>
  </si>
  <si>
    <t xml:space="preserve">Masterplan: minstens 1 checkout per EUR 15. Dit is het anker voor alle beslisregels.</t>
  </si>
  <si>
    <t xml:space="preserve">Max kosten per echte bezoeker (EUR)</t>
  </si>
  <si>
    <t xml:space="preserve">Masterplan-toets per twee weken.</t>
  </si>
  <si>
    <t xml:space="preserve">Min. link-CTR</t>
  </si>
  <si>
    <t xml:space="preserve">Min. hook rate (3-seconden-weergaven / vertoningen)</t>
  </si>
  <si>
    <t xml:space="preserve">Campagnebestand: organisch meer dan 30 % kijkt 3 seconden. Zelfde drempel voor de betaalde hooktest.</t>
  </si>
  <si>
    <t xml:space="preserve">Checkout naar betaald</t>
  </si>
  <si>
    <t xml:space="preserve">AANNAME. Wordt na de eerste 10 checkouts vervangen door de echte waarde.</t>
  </si>
  <si>
    <t xml:space="preserve">Referral vrijgegeven? (20+ klanten)</t>
  </si>
  <si>
    <t xml:space="preserve">Nee</t>
  </si>
  <si>
    <t xml:space="preserve">Ja/Nee. Bij Nee gaat het referral-budget naar retargeting.</t>
  </si>
  <si>
    <t xml:space="preserve">Verdeling pot over lagen</t>
  </si>
  <si>
    <t xml:space="preserve">Aandeel</t>
  </si>
  <si>
    <t xml:space="preserve">Bedrag</t>
  </si>
  <si>
    <t xml:space="preserve">Bereik (TOFU)</t>
  </si>
  <si>
    <t xml:space="preserve">Campagnebestand: 60 / 25 / 15. Afwijking uitgelegd in het plan (sectie 5).</t>
  </si>
  <si>
    <t xml:space="preserve">Retargeting (BOFU)</t>
  </si>
  <si>
    <t xml:space="preserve">Doorverwijzen (voorwaardelijk)</t>
  </si>
  <si>
    <t xml:space="preserve">Controle: som is 100 %</t>
  </si>
  <si>
    <t xml:space="preserve">Effectieve potten</t>
  </si>
  <si>
    <t xml:space="preserve">Bereik</t>
  </si>
  <si>
    <t xml:space="preserve">Retargeting (incl. niet vrijgegeven referral)</t>
  </si>
  <si>
    <t xml:space="preserve">Doorverwijzen</t>
  </si>
  <si>
    <t xml:space="preserve">Totaal (moet gelijk zijn aan de pot)</t>
  </si>
  <si>
    <t xml:space="preserve">Fasen en budgetritme</t>
  </si>
  <si>
    <t xml:space="preserve">Fase</t>
  </si>
  <si>
    <t xml:space="preserve">Start</t>
  </si>
  <si>
    <t xml:space="preserve">Eind</t>
  </si>
  <si>
    <t xml:space="preserve">Bereik start</t>
  </si>
  <si>
    <t xml:space="preserve">Bereik eind</t>
  </si>
  <si>
    <t xml:space="preserve">RT start</t>
  </si>
  <si>
    <t xml:space="preserve">RT eind</t>
  </si>
  <si>
    <t xml:space="preserve">Ref start</t>
  </si>
  <si>
    <t xml:space="preserve">Ref eind</t>
  </si>
  <si>
    <t xml:space="preserve">Aandeel bereik</t>
  </si>
  <si>
    <t xml:space="preserve">Aandeel RT</t>
  </si>
  <si>
    <t xml:space="preserve">Aandeel ref</t>
  </si>
  <si>
    <t xml:space="preserve">Bereik EUR</t>
  </si>
  <si>
    <t xml:space="preserve">RT EUR</t>
  </si>
  <si>
    <t xml:space="preserve">Ref EUR</t>
  </si>
  <si>
    <t xml:space="preserve">Bereik / dag</t>
  </si>
  <si>
    <t xml:space="preserve">RT / dag</t>
  </si>
  <si>
    <t xml:space="preserve">Ref / dag</t>
  </si>
  <si>
    <t xml:space="preserve">F0 Voorbereiding</t>
  </si>
  <si>
    <t xml:space="preserve">F1 Na Black Friday en lijstjestijd</t>
  </si>
  <si>
    <t xml:space="preserve">F2 Volle agenda</t>
  </si>
  <si>
    <t xml:space="preserve">F3 Vriendenweek en eindsprint</t>
  </si>
  <si>
    <t xml:space="preserve">F4 Kerst (na het doel van 19 dec)</t>
  </si>
  <si>
    <t xml:space="preserve">F5 Januari klaarzetten</t>
  </si>
  <si>
    <t xml:space="preserve">Controle: aandelen per laag</t>
  </si>
  <si>
    <t xml:space="preserve">Totaal fasebudget</t>
  </si>
  <si>
    <t xml:space="preserve">Elke laag moet op 100 % uitkomen (J36 t/m L36).</t>
  </si>
  <si>
    <t xml:space="preserve">Dag-voor-dag schema 23 november t/m 4 januari</t>
  </si>
  <si>
    <t xml:space="preserve">Budgetten komen uit 'Instellingen' (pot en verdeling). Organisch volgt de postplanning van het campagnebestand.</t>
  </si>
  <si>
    <t xml:space="preserve">Datum</t>
  </si>
  <si>
    <t xml:space="preserve">Dag</t>
  </si>
  <si>
    <t xml:space="preserve">Organisch (campagnebestand)</t>
  </si>
  <si>
    <t xml:space="preserve">Betaald: wat gebeurt er</t>
  </si>
  <si>
    <t xml:space="preserve">Totaal EUR</t>
  </si>
  <si>
    <t xml:space="preserve">Cumulatief EUR</t>
  </si>
  <si>
    <t xml:space="preserve">% pot</t>
  </si>
  <si>
    <t xml:space="preserve">Ritme</t>
  </si>
  <si>
    <t xml:space="preserve">Checkpoint of opmerking</t>
  </si>
  <si>
    <t xml:space="preserve">ma</t>
  </si>
  <si>
    <t xml:space="preserve">Nog geen feedpost. Story-reeks start 1 dec.</t>
  </si>
  <si>
    <t xml:space="preserve">Poortcheck G1: audiences aangemaakt, concepten ingediend voor review, testbetaling in de Instagram-browser. Geen uitgaven.</t>
  </si>
  <si>
    <t xml:space="preserve">Beslisdag</t>
  </si>
  <si>
    <t xml:space="preserve">Go/No-go-moment 1</t>
  </si>
  <si>
    <t xml:space="preserve">di</t>
  </si>
  <si>
    <t xml:space="preserve">-</t>
  </si>
  <si>
    <t xml:space="preserve">Advertenties en retargeting-concepten gepauzeerd klaarzetten zodat Meta ze kan beoordelen (review kan 24 uur duren).</t>
  </si>
  <si>
    <t xml:space="preserve">wo</t>
  </si>
  <si>
    <t xml:space="preserve">Pixel en CAPI-eindtest: echte testbetaling op iOS en Android, daarna Test Events controleren.</t>
  </si>
  <si>
    <t xml:space="preserve">Lanceerdag</t>
  </si>
  <si>
    <t xml:space="preserve">do</t>
  </si>
  <si>
    <t xml:space="preserve">UTM-linkcheck, GA4-filter intern verkeer, uitgavenlimiet op het advertentieaccount gelijk aan de pot.</t>
  </si>
  <si>
    <t xml:space="preserve">vr</t>
  </si>
  <si>
    <t xml:space="preserve">Black Friday: niet adverteren (veiling duurder, funnel nog onbewezen). Laatste Go/No-go voor 30 nov.</t>
  </si>
  <si>
    <t xml:space="preserve">Schaaldag</t>
  </si>
  <si>
    <t xml:space="preserve">Go/No-go-moment 2</t>
  </si>
  <si>
    <t xml:space="preserve">za</t>
  </si>
  <si>
    <t xml:space="preserve">#1 Eén dag gekocht, negen dagen betalen (Reel)</t>
  </si>
  <si>
    <t xml:space="preserve">Alleen meten: weergaven en 3-seconden-kijkers van de organische Reel. Geen budget.</t>
  </si>
  <si>
    <t xml:space="preserve">zo</t>
  </si>
  <si>
    <t xml:space="preserve">Organische cijfers #1 verzamelen.</t>
  </si>
  <si>
    <t xml:space="preserve">BESLISDAG. Lees #1 (48 uur organisch). Start Bereik-campagne (Test, CBO) met A1. Controleer dat de retargeting-doelgroepen minstens 100 mensen tellen.</t>
  </si>
  <si>
    <t xml:space="preserve">Start betaald</t>
  </si>
  <si>
    <t xml:space="preserve">#2 De adventskalender (Reel). Story-deurtje 1 (dagelijks t/m 24 dec)</t>
  </si>
  <si>
    <t xml:space="preserve">A2 (hero) in review. Organische proef van de Reel loopt.</t>
  </si>
  <si>
    <t xml:space="preserve">#4 Het Buddy-rijm (carrousel, alleen organisch)</t>
  </si>
  <si>
    <t xml:space="preserve">LANCEERDAG. A2 (Advent-Reel) en A3 (Sint) naar de Test-campagne. Maximaal 3 advertenties tegelijk.</t>
  </si>
  <si>
    <t xml:space="preserve">#3 Sint heeft zijn boek (Reel). #6 Brief van de maker (static)</t>
  </si>
  <si>
    <t xml:space="preserve">Retargeting start: B1 (Brief van de maker) met laag budget om de pool te voeden.</t>
  </si>
  <si>
    <t xml:space="preserve">Story-deurtje</t>
  </si>
  <si>
    <t xml:space="preserve">SCHAALDAG. Dag-3 hook rate van A1, A2 en A3 lezen. Frequentie controleren. Nog geen budgetverhoging.</t>
  </si>
  <si>
    <t xml:space="preserve">Pakjesavond. Story-deurtje</t>
  </si>
  <si>
    <t xml:space="preserve">A3 (Sint) stopt om 23:59: thema verloopt.</t>
  </si>
  <si>
    <t xml:space="preserve">#5 Lijstjesmaand (carrousel)</t>
  </si>
  <si>
    <t xml:space="preserve">CHECKPOINT: 27 betaald. Loopt het achter, dan schuift budget van bereik naar retargeting (max 20 % van het weekbudget).</t>
  </si>
  <si>
    <t xml:space="preserve">Checkpoint 27 betaald</t>
  </si>
  <si>
    <t xml:space="preserve">BESLISDAG en toets per twee weken 1. Dag-7-check per advertentie (eerlijk aandeel, CTR, kosten per bezoeker). A1 stopt. Eerste winnaar naar de Scaling-campagne.</t>
  </si>
  <si>
    <t xml:space="preserve">Toets 1</t>
  </si>
  <si>
    <t xml:space="preserve">#9 €3,49 rust (retargeting-ad)</t>
  </si>
  <si>
    <t xml:space="preserve">B2 (€3,49 rust) live naast B1.</t>
  </si>
  <si>
    <t xml:space="preserve">#8 Aftellen naar 31 december, deel 1 (Story)</t>
  </si>
  <si>
    <t xml:space="preserve">LANCEERDAG. Zorgverzekering-feiten van idee 8 gecontroleerd? Pas daarna publiceren. Nieuwe test voorbereiden voor het vrijgekomen slot.</t>
  </si>
  <si>
    <t xml:space="preserve">Feiten idee 8 controleren</t>
  </si>
  <si>
    <t xml:space="preserve">#7 De volle decemberagenda (Reel)</t>
  </si>
  <si>
    <t xml:space="preserve">Organische proef #7 (24 uur). Geen wijziging in lopende advertenties.</t>
  </si>
  <si>
    <t xml:space="preserve">SCHAALDAG. A4 (Agenda) live in Test. Winnaars maximaal +20 %. Is de kosten per start na een stap meer dan 1,5x het doel, dan direct 20 tot 30 % terug.</t>
  </si>
  <si>
    <t xml:space="preserve">#12 Vriend mee de feestdagen door (Reel)</t>
  </si>
  <si>
    <t xml:space="preserve">BESLISDAG. Referral-poort: zijn er 20 of meer klanten? Ja: zet B14 op Ja en start R1 op dinsdag. Nee: budget gaat naar retargeting.</t>
  </si>
  <si>
    <t xml:space="preserve">Referral-poort</t>
  </si>
  <si>
    <t xml:space="preserve">#11 De kerstkaart van Buddy (static en Story)</t>
  </si>
  <si>
    <t xml:space="preserve">R1 (Vriend mee) live, alleen bij Ja op de referral-poort.</t>
  </si>
  <si>
    <t xml:space="preserve">#8 Aftellen naar 31 december, deel 2 (Story)</t>
  </si>
  <si>
    <t xml:space="preserve">LANCEERDAG. Verversing: nieuwe uitvoeringen van het winnende concept (Advent-statics deurtje 3, 9, 14) tegen vermoeidheid. Nooit een draaiende ad aanpassen.</t>
  </si>
  <si>
    <t xml:space="preserve">#10 Kersttafel-bingo (static)</t>
  </si>
  <si>
    <t xml:space="preserve">SCHAALDAG. A5 (Bingo) live t/m 22 dec. Laatste dag met nieuwe bereik-uitgaven die nog meetellen voor 19 dec.</t>
  </si>
  <si>
    <t xml:space="preserve">CHECKPOINT: 35 betaald. Daarna alleen nog retargeting en A5.</t>
  </si>
  <si>
    <t xml:space="preserve">Checkpoint 35 betaald</t>
  </si>
  <si>
    <t xml:space="preserve">Alleen A5 en retargeting. CPM-check: duurder dan in week 2? Dan geen extra bereik.</t>
  </si>
  <si>
    <t xml:space="preserve">BESLISDAG en toets per twee weken 2. Alles lezen. Besluit over het januari-budget op basis van kosten per betaalde abonnee.</t>
  </si>
  <si>
    <t xml:space="preserve">Toets 2</t>
  </si>
  <si>
    <t xml:space="preserve">A5 (Bingo) stopt om 23:59.</t>
  </si>
  <si>
    <t xml:space="preserve">#8 Aftellen naar 31 december, deel 3 (Story). Story-deurtje</t>
  </si>
  <si>
    <t xml:space="preserve">A2 (Advent) stopt om 23:59: laatste deurtje is morgen.</t>
  </si>
  <si>
    <t xml:space="preserve">Story-deurtje 24 (feestdagenwens)</t>
  </si>
  <si>
    <t xml:space="preserve">Geen wijzigingen. Retargeting loopt op laag budget.</t>
  </si>
  <si>
    <t xml:space="preserve">Kerstavond</t>
  </si>
  <si>
    <t xml:space="preserve">Geen wijzigingen.</t>
  </si>
  <si>
    <t xml:space="preserve">Eerste kerstdag</t>
  </si>
  <si>
    <t xml:space="preserve">#13 Januari staat al klaar (carrousel)</t>
  </si>
  <si>
    <t xml:space="preserve">A6 (Januari-carrousel) live in Test.</t>
  </si>
  <si>
    <t xml:space="preserve">#14 Die rare week (static)</t>
  </si>
  <si>
    <t xml:space="preserve">BESLISDAG. Dag-3-cijfers A6: hook rate en CTR. Frequentie controleren.</t>
  </si>
  <si>
    <t xml:space="preserve">#15 Aftellen naar 2027 (Reel, alleen organisch)</t>
  </si>
  <si>
    <t xml:space="preserve">LANCEERDAG. A7 (Voornemen) voorbereiden: eerst 24 uur organisch laten lopen.</t>
  </si>
  <si>
    <t xml:space="preserve">#15 Aftellen naar 2027 (Reel)</t>
  </si>
  <si>
    <t xml:space="preserve">Geen wijzigingen op oudejaarsavond.</t>
  </si>
  <si>
    <t xml:space="preserve">Oud en nieuw</t>
  </si>
  <si>
    <t xml:space="preserve">#16 Een voornemen in 30 seconden (Reel en Story)</t>
  </si>
  <si>
    <t xml:space="preserve">Geen wijzigingen (feestdag).</t>
  </si>
  <si>
    <t xml:space="preserve">Nieuwjaarsdag</t>
  </si>
  <si>
    <t xml:space="preserve">A7 (Voornemen) live: vervangt de zwakste bereik-ad.</t>
  </si>
  <si>
    <t xml:space="preserve">BESLISDAG en eindread. Lessenbestand bijwerken. Besluit over doorgaan met het restbudget.</t>
  </si>
  <si>
    <t xml:space="preserve">Einde campagne</t>
  </si>
  <si>
    <t xml:space="preserve">Totaal</t>
  </si>
  <si>
    <t xml:space="preserve">Advertentielijst en beslissing per advertentie</t>
  </si>
  <si>
    <t xml:space="preserve">Teksten komen uit de Ads Manager-secties van de documenten in december/. Vul de blauwe kolommen M t/m P in; Q en R rekenen.</t>
  </si>
  <si>
    <t xml:space="preserve">Advertentienaam (utm_content)</t>
  </si>
  <si>
    <t xml:space="preserve">Idee</t>
  </si>
  <si>
    <t xml:space="preserve">Laag</t>
  </si>
  <si>
    <t xml:space="preserve">Campagne</t>
  </si>
  <si>
    <t xml:space="preserve">Bestanden (composities)</t>
  </si>
  <si>
    <t xml:space="preserve">Voorwaarde of poort</t>
  </si>
  <si>
    <t xml:space="preserve">Primaire tekst (max 125)</t>
  </si>
  <si>
    <t xml:space="preserve">Kop (max 40)</t>
  </si>
  <si>
    <t xml:space="preserve">Knop</t>
  </si>
  <si>
    <t xml:space="preserve">Status</t>
  </si>
  <si>
    <t xml:space="preserve">Uitgegeven EUR</t>
  </si>
  <si>
    <t xml:space="preserve">LP-weergaven</t>
  </si>
  <si>
    <t xml:space="preserve">Starts aanmelding</t>
  </si>
  <si>
    <t xml:space="preserve">Aankopen</t>
  </si>
  <si>
    <t xml:space="preserve">Kosten per start</t>
  </si>
  <si>
    <t xml:space="preserve">Beslissing</t>
  </si>
  <si>
    <t xml:space="preserve">DEC01-Pakketjes-Reel</t>
  </si>
  <si>
    <t xml:space="preserve">TOFU-Test</t>
  </si>
  <si>
    <t xml:space="preserve">DEC01-Pakketjes-Reel (9:16), DEC01-Pakketjes-Feed (4:5)</t>
  </si>
  <si>
    <t xml:space="preserve">Alleen nadat #1 organisch 8.000+ weergaven en meer dan 30 % 3-seconden-kijkers haalde, of de betaalde hooktest (dag 3) 30 % haalt. Thema verloopt na Black Friday.</t>
  </si>
  <si>
    <t xml:space="preserve">Eén dag shoppen, negen dagen betalen. Stuur de betaalmails door en Buddy geeft je seintjes.</t>
  </si>
  <si>
    <t xml:space="preserve">Stuur ze door en geniet van je spullen.</t>
  </si>
  <si>
    <t xml:space="preserve">Aanmelden</t>
  </si>
  <si>
    <t xml:space="preserve">Klaar</t>
  </si>
  <si>
    <t xml:space="preserve">DEC02-Advent-Reel</t>
  </si>
  <si>
    <t xml:space="preserve">TOFU-Test, daarna TOFU-Scale</t>
  </si>
  <si>
    <t xml:space="preserve">DEC02-Advent-Reel (9:16), DEC02-Advent-Feed (4:5); verversing: DEC02-Advent-Story-03, -09, -14 als statics</t>
  </si>
  <si>
    <t xml:space="preserve">Hero. Zelfde poort als hierboven. Statics als verversing vanaf 16 dec (nooit een draaiende ad aanpassen).</t>
  </si>
  <si>
    <t xml:space="preserve">Niet elk deurtje is chocola. Buddy zet je rekeningen in je agenda, met een seintje 7 en 2 dagen vooraf.</t>
  </si>
  <si>
    <t xml:space="preserve">Buddy houdt het lijstje bij</t>
  </si>
  <si>
    <t xml:space="preserve">DEC03-Sint-Reel</t>
  </si>
  <si>
    <t xml:space="preserve">DEC03-Sint-Reel (9:16), DEC03-Sint-Feed (4:5)</t>
  </si>
  <si>
    <t xml:space="preserve">Korte vlucht tot Pakjesavond (5 dec). Wordt niet op kosten per start beoordeeld: te weinig tijd. Alleen hook rate en CTR.</t>
  </si>
  <si>
    <t xml:space="preserve">Sint heeft zijn grote boek. Jij hebt Buddy: stuur een rekening door en hij zet de datum in je agenda.</t>
  </si>
  <si>
    <t xml:space="preserve">Jij hebt Buddy.</t>
  </si>
  <si>
    <t xml:space="preserve">DEC07-Agenda-Reel</t>
  </si>
  <si>
    <t xml:space="preserve">DEC07-Agenda-Reel (9:16), DEC07-Agenda-Feed (4:5)</t>
  </si>
  <si>
    <t xml:space="preserve">24 uur organische proef na post op 10 dec.</t>
  </si>
  <si>
    <t xml:space="preserve">Je agenda zit vol. Stuur je rekening door: Buddy zet de datum erin, met seintje 7 en 2 dagen vooraf.</t>
  </si>
  <si>
    <t xml:space="preserve">Vol? Buddy maakt nog plek.</t>
  </si>
  <si>
    <t xml:space="preserve">DEC10-Bingo</t>
  </si>
  <si>
    <t xml:space="preserve">DEC10-Bingo (1080x1350 static)</t>
  </si>
  <si>
    <t xml:space="preserve">Goedkope statics-volume. Laatste bereik-ad vóór kerst.</t>
  </si>
  <si>
    <t xml:space="preserve">Kersttafel-bingo. Het middenvak vult Buddy voor je in: "Ja, staat in mijn agenda."</t>
  </si>
  <si>
    <t xml:space="preserve">Kersttafel-bingo</t>
  </si>
  <si>
    <t xml:space="preserve">Meer informatie</t>
  </si>
  <si>
    <t xml:space="preserve">DEC13-Januari-Carrousel</t>
  </si>
  <si>
    <t xml:space="preserve">DEC13-Januari-1 t/m -6 (carrousel 1080x1350)</t>
  </si>
  <si>
    <t xml:space="preserve">Laagste CPM verwacht in januari: hypothese, meten.</t>
  </si>
  <si>
    <t xml:space="preserve">Zorgpremie, termijnen, jaarabonnementen: in januari komt er veel tegelijk. Zet je rekeningen nu klaar.</t>
  </si>
  <si>
    <t xml:space="preserve">Januari staat al klaar</t>
  </si>
  <si>
    <t xml:space="preserve">DEC16-Voornemen-Reel</t>
  </si>
  <si>
    <t xml:space="preserve">DEC16-Voornemen-Reel (9:16), DEC16-Voornemen-Feed (4:5)</t>
  </si>
  <si>
    <t xml:space="preserve">Eerst 24 uur organisch (post 1 jan). De 30-secondenclaim moet eerst gecontroleerd zijn.</t>
  </si>
  <si>
    <t xml:space="preserve">Sporten 3 %, eerder naar bed 0 %. Eén mail doorsturen haal je wél in 30 seconden: rekeningen op tijd.</t>
  </si>
  <si>
    <t xml:space="preserve">Het voornemen van 30 seconden</t>
  </si>
  <si>
    <t xml:space="preserve">DEC06-Brief</t>
  </si>
  <si>
    <t xml:space="preserve">Retargeting</t>
  </si>
  <si>
    <t xml:space="preserve">RT</t>
  </si>
  <si>
    <t xml:space="preserve">DEC06-Brief (static 1080x1350)</t>
  </si>
  <si>
    <t xml:space="preserve">Alleen voor sitebezoekers en video-kijkers van de laatste 30 dagen. Vertrouwen is de eerste bezwaren-ad.</t>
  </si>
  <si>
    <t xml:space="preserve">Ik ben Rick, maker van Betaalbuddy. Geen bankkoppeling, geen inbox-toegang. Jij stuurt door, Buddy let op de datum.</t>
  </si>
  <si>
    <t xml:space="preserve">Een brief van de maker</t>
  </si>
  <si>
    <t xml:space="preserve">DEC09-Rust</t>
  </si>
  <si>
    <t xml:space="preserve">DEC09-Rust (static 1080x1350)</t>
  </si>
  <si>
    <t xml:space="preserve">Prijs alleen hier (Standard). Geen '30 dagen geld terug' tenzij besluit 1 uit het masterplan staat.</t>
  </si>
  <si>
    <t xml:space="preserve">Standard kost €3,49 per maand. Stuur een rekening door en Buddy zet het seintje in je agenda.</t>
  </si>
  <si>
    <t xml:space="preserve">Rust in december, €3,49</t>
  </si>
  <si>
    <t xml:space="preserve">DEC12-Vriend-Reel</t>
  </si>
  <si>
    <t xml:space="preserve">REF (voorwaardelijk)</t>
  </si>
  <si>
    <t xml:space="preserve">DEC12-Vriend-Reel (9:16), DEC12-Vriend-Feed (4:5)</t>
  </si>
  <si>
    <t xml:space="preserve">Alleen bij 20+ klanten (Instellingen B14 = Ja). Doelgroep: volgers, klanten en betrokken kijkers. Voorwaarden van de werf-aanbieding op de instappagina.</t>
  </si>
  <si>
    <t xml:space="preserve">Die ene vriend onder de enveloppen? Stuur hem je link. Wordt hij lid, dan krijg jij een maand gratis.</t>
  </si>
  <si>
    <t xml:space="preserve">Vriend mee de feestdagen door</t>
  </si>
  <si>
    <t xml:space="preserve">VOORBEELD (wissen): DEC02-Advent-Reel</t>
  </si>
  <si>
    <t xml:space="preserve">Zo ziet een ingevulde regel eruit: EUR 48 uitgegeven, 3 starts is EUR 16 per start: MONITOR.</t>
  </si>
  <si>
    <t xml:space="preserve">Meetplan: elke maandag de week invullen</t>
  </si>
  <si>
    <t xml:space="preserve">Meta rapporteert 7 dagen klik. GA4 en Mollie rapporteren anders. Zet de bronnen naast elkaar en tel ze nooit bij elkaar op. De waarheid over betalingen is Mollie/Supabase.</t>
  </si>
  <si>
    <t xml:space="preserve">Week</t>
  </si>
  <si>
    <t xml:space="preserve">Uitgegeven EUR (Meta)</t>
  </si>
  <si>
    <t xml:space="preserve">Vertoningen</t>
  </si>
  <si>
    <t xml:space="preserve">3-sec-weergaven</t>
  </si>
  <si>
    <t xml:space="preserve">Linkklikken</t>
  </si>
  <si>
    <t xml:space="preserve">Starts aanmelding (Meta)</t>
  </si>
  <si>
    <t xml:space="preserve">Aankopen (Meta, 7d klik)</t>
  </si>
  <si>
    <t xml:space="preserve">Gem. frequentie</t>
  </si>
  <si>
    <t xml:space="preserve">Echte bezoekers (GA4, gefilterd)</t>
  </si>
  <si>
    <t xml:space="preserve">Nieuwe betalende abonnees (Mollie/Supabase)</t>
  </si>
  <si>
    <t xml:space="preserve">CPM</t>
  </si>
  <si>
    <t xml:space="preserve">Link-CTR</t>
  </si>
  <si>
    <t xml:space="preserve">Hook rate</t>
  </si>
  <si>
    <t xml:space="preserve">Kosten per LP-weergave</t>
  </si>
  <si>
    <t xml:space="preserve">Kosten per echte bezoeker</t>
  </si>
  <si>
    <t xml:space="preserve">Kosten per betaalde abonnee (echt)</t>
  </si>
  <si>
    <t xml:space="preserve">Bezoeker naar betaald</t>
  </si>
  <si>
    <t xml:space="preserve">Status (aanmeldkosten)</t>
  </si>
  <si>
    <t xml:space="preserve">Opmerking</t>
  </si>
  <si>
    <t xml:space="preserve">VOORBEELD (wissen)</t>
  </si>
  <si>
    <t xml:space="preserve">Zo ziet een ingevulde week eruit.</t>
  </si>
  <si>
    <t xml:space="preserve">Week 1: 30 nov t/m 6 dec</t>
  </si>
  <si>
    <t xml:space="preserve">Week 2: 7 dec t/m 13 dec</t>
  </si>
  <si>
    <t xml:space="preserve">Week 3: 14 dec t/m 19 dec</t>
  </si>
  <si>
    <t xml:space="preserve">Week 4: 20 dec t/m 25 dec</t>
  </si>
  <si>
    <t xml:space="preserve">Week 5: 26 dec t/m 1 jan</t>
  </si>
  <si>
    <t xml:space="preserve">Week 6: 2 jan t/m 4 jan</t>
  </si>
  <si>
    <t xml:space="preserve">Drempels uit het plan (Instellingen): link-CTR minstens 0,8 %, hooguit EUR 1,50 per echte bezoeker, minstens 1 start per EUR 15, minstens 1 aankoop.</t>
  </si>
  <si>
    <t xml:space="preserve">Frequentie: koud 1,0 tot 2,5 is veilig, boven 4,0 kritiek. Retargeting 2,0 tot 4,0 is veilig, boven 6,0 kritiek.</t>
  </si>
  <si>
    <t xml:space="preserve">De laatste 3 dagen van elke week nooit als eindoordeel gebruiken: conversies lopen tot 72 uur achter.</t>
  </si>
  <si>
    <t xml:space="preserve">Rekensom: wat mag een betalende abonnee kosten?</t>
  </si>
  <si>
    <t xml:space="preserve">Basis</t>
  </si>
  <si>
    <t xml:space="preserve">Opbrengst per maand excl. btw</t>
  </si>
  <si>
    <t xml:space="preserve">Aannames: prijs incl. btw, 21 % btw, marge 85 %. Geen retentiecijfers bekend: terugverdientijd is dus de eerlijke maat, geen LTV.</t>
  </si>
  <si>
    <t xml:space="preserve">Marge per maand na kosten (aanname)</t>
  </si>
  <si>
    <t xml:space="preserve">Max. kosten per abonnee bij 6 maanden terugverdientijd</t>
  </si>
  <si>
    <t xml:space="preserve">Max. kosten per abonnee bij 12 maanden terugverdientijd</t>
  </si>
  <si>
    <t xml:space="preserve">Kosten per abonnee als de pot 13 abonnees oplevert (masterplan)</t>
  </si>
  <si>
    <t xml:space="preserve">maanden terugverdientijd</t>
  </si>
  <si>
    <t xml:space="preserve">Eerste maand voor de werver (kosten van één referral)</t>
  </si>
  <si>
    <t xml:space="preserve">maanden terugverdientijd: veel goedkoper dan betaald verkeer</t>
  </si>
  <si>
    <t xml:space="preserve">A. Kosten per betaalde abonnee (EUR)</t>
  </si>
  <si>
    <t xml:space="preserve">Bezoeker naar betaald:</t>
  </si>
  <si>
    <t xml:space="preserve">Kosten per echte bezoeker (rij) / conversie (kolom)</t>
  </si>
  <si>
    <t xml:space="preserve">Formule: kosten per bezoeker / conversie van bezoeker naar betaald. Alle getallen zijn gevoeligheidscases, geen voorspelling.</t>
  </si>
  <si>
    <t xml:space="preserve">B. Betaalde abonnees uit de hele pot</t>
  </si>
  <si>
    <t xml:space="preserve">Formule: pot / kosten per betaalde abonnee. Het masterplan rekent met ongeveer 13 abonnees uit Meta.</t>
  </si>
  <si>
    <t xml:space="preserve">C. Terugverdientijd in maanden</t>
  </si>
  <si>
    <t xml:space="preserve">Formule: kosten per abonnee / marge per maand. Boven 12 maanden is betaald verkeer zonder bewezen retentie een inzet op leren, niet op rendement.</t>
  </si>
  <si>
    <t xml:space="preserve">Conclusie voor dit schema</t>
  </si>
  <si>
    <t xml:space="preserve">Zonder retentiedata is EUR 400 een leerbudget. De pot haalt het masterplan-doel van 13 abonnees alleen bij ongeveer EUR 31 per abonnee of lager (zie B8).</t>
  </si>
  <si>
    <t xml:space="preserve">Preflight: Go/No-go voor de eerste euro</t>
  </si>
  <si>
    <t xml:space="preserve">G0 voor 11 november (vóór de zorgpremie-test van 12 nov), G1 voor 27 november (decemberspecifiek). Eén rood vinkje = geen uitgaven.</t>
  </si>
  <si>
    <t xml:space="preserve">ID</t>
  </si>
  <si>
    <t xml:space="preserve">Taak</t>
  </si>
  <si>
    <t xml:space="preserve">Waarom</t>
  </si>
  <si>
    <t xml:space="preserve">Bewijs dat het klopt</t>
  </si>
  <si>
    <t xml:space="preserve">Eigenaar</t>
  </si>
  <si>
    <t xml:space="preserve">Deadline</t>
  </si>
  <si>
    <t xml:space="preserve">G0-1</t>
  </si>
  <si>
    <t xml:space="preserve">Testbetaling met echte iDEAL in de Instagram-browser, iOS en Android, vanuit een echte advertentie-preview</t>
  </si>
  <si>
    <t xml:space="preserve">32 % van het verkeer komt via de Instagram-browser; Clarity zag daar een postMessage-fout. 20 starts gaven 0 betalingen.</t>
  </si>
  <si>
    <t xml:space="preserve">Schermopname plus betaling zichtbaar in Mollie en Supabase</t>
  </si>
  <si>
    <t xml:space="preserve">Rick</t>
  </si>
  <si>
    <t xml:space="preserve">Open</t>
  </si>
  <si>
    <t xml:space="preserve">G0-2</t>
  </si>
  <si>
    <t xml:space="preserve">Purchase-gebeurtenis via CAPI vanuit de Mollie-webhook, met event_id gelijk aan de betaling en fbp/fbc uit de aanmelding</t>
  </si>
  <si>
    <t xml:space="preserve">Aankoop is het enige signaal dat Meta niet kan raden. Browser-redirect alleen is te zwak.</t>
  </si>
  <si>
    <t xml:space="preserve">Events Manager &gt; Test Events: 1x Purchase binnen een minuut, waarde 3,49 EUR, ontdubbeld</t>
  </si>
  <si>
    <t xml:space="preserve">Rick / Claude</t>
  </si>
  <si>
    <t xml:space="preserve">G0-3</t>
  </si>
  <si>
    <t xml:space="preserve">InitiateCheckout ('Start aanmelding') en ViewContent op de instappagina</t>
  </si>
  <si>
    <t xml:space="preserve">Optimalisatie en retargeting hebben een gebeurtenis boven de aankoop nodig.</t>
  </si>
  <si>
    <t xml:space="preserve">Test Events laat beide zien op het juiste moment</t>
  </si>
  <si>
    <t xml:space="preserve">G0-4</t>
  </si>
  <si>
    <t xml:space="preserve">Domein betaalbuddy.nl geverifieerd in Meta</t>
  </si>
  <si>
    <t xml:space="preserve">Zonder verificatie zijn conversie-gebeurtenissen beperkt en kan Meta ze afkappen.</t>
  </si>
  <si>
    <t xml:space="preserve">Domein toont 'Geverifieerd' in Brand Safety</t>
  </si>
  <si>
    <t xml:space="preserve">G0-5</t>
  </si>
  <si>
    <t xml:space="preserve">Cookiebanner laadt de Pixel pas na toestemming en blokkeert de betaling niet</t>
  </si>
  <si>
    <t xml:space="preserve">Toestemming is vereist; een banner die checkout blokkeert is een verborgen conversielek.</t>
  </si>
  <si>
    <t xml:space="preserve">Test met weigeren en accepteren; Pixel Helper laat het verschil zien</t>
  </si>
  <si>
    <t xml:space="preserve">G0-6</t>
  </si>
  <si>
    <t xml:space="preserve">GA4: intern verkeer gefilterd en bots uitgesloten</t>
  </si>
  <si>
    <t xml:space="preserve">Veel funnel-events komen van 1 tot 2 gebruikers (eigen tests); Clarity zag 23 % bots.</t>
  </si>
  <si>
    <t xml:space="preserve">Filter actief; rapport 'echte bezoekers' klopt met Clarity</t>
  </si>
  <si>
    <t xml:space="preserve">G0-7</t>
  </si>
  <si>
    <t xml:space="preserve">Instappagina zegt hetzelfde als de advertentie: geen 'gratis', geen 7 dagen proef, geen WhatsApp of Telegram, wel Standard EUR 3,49</t>
  </si>
  <si>
    <t xml:space="preserve">Meta keurt misleidende of afwijkende landingspagina's af en het vertrouwen is probleem 1.</t>
  </si>
  <si>
    <t xml:space="preserve">Homepage, /start-met-betaalbuddy/ en checkout zijn gelezen; /probeer-betaalbuddy/ doorgestuurd</t>
  </si>
  <si>
    <t xml:space="preserve">G0-8</t>
  </si>
  <si>
    <t xml:space="preserve">Besluit over '30 dagen geld terug'</t>
  </si>
  <si>
    <t xml:space="preserve">Raakt idee 9 en de pagina. Niet in advertenties tot bevestigd.</t>
  </si>
  <si>
    <t xml:space="preserve">Besluit in de changelog</t>
  </si>
  <si>
    <t xml:space="preserve">G1-1</t>
  </si>
  <si>
    <t xml:space="preserve">Advertentieaccount: betaalmethode, valuta EUR, tijdzone Amsterdam, uitgavenlimiet gelijk aan de pot</t>
  </si>
  <si>
    <t xml:space="preserve">Voorkomt dat een fout meer uitgeeft dan het plan.</t>
  </si>
  <si>
    <t xml:space="preserve">Schermafdruk accountinstellingen</t>
  </si>
  <si>
    <t xml:space="preserve">G1-2</t>
  </si>
  <si>
    <t xml:space="preserve">Adverteerder geverifieerd voor de EU (handelaarsgegevens, 'Betaald door' en begunstigde) en Instagram en Pagina gekoppeld</t>
  </si>
  <si>
    <t xml:space="preserve">In de EU vraagt Meta om deze gegevens. Zonder kan levering stoppen.</t>
  </si>
  <si>
    <t xml:space="preserve">Ads Manager toont geen openstaande verificatie</t>
  </si>
  <si>
    <t xml:space="preserve">G1-3</t>
  </si>
  <si>
    <t xml:space="preserve">Speciale advertentiecategorie beoordeeld (financiële producten en diensten)</t>
  </si>
  <si>
    <t xml:space="preserve">Betaalbuddy leent niet en betaalt niet, maar woorden als 'rekeningen' en 'achteraf betalen' kunnen de classificatie raken.</t>
  </si>
  <si>
    <t xml:space="preserve">Keuze vastgelegd; beroepsroute klaar</t>
  </si>
  <si>
    <t xml:space="preserve">G1-4</t>
  </si>
  <si>
    <t xml:space="preserve">Aangepaste doelgroepen aangemaakt en groter dan 100: sitebezoekers 30 dagen, startpagina 30 dagen, Start aanmelding 30 dagen, kopers 180 dagen (uitsluiten), Instagram-interactie 90 dagen, video-kijkers 50 %</t>
  </si>
  <si>
    <t xml:space="preserve">Retargeting kan alleen starten als de pool er is; kopers moeten uitgesloten worden.</t>
  </si>
  <si>
    <t xml:space="preserve">Doelgroepgrootte per lijst genoteerd</t>
  </si>
  <si>
    <t xml:space="preserve">G1-5</t>
  </si>
  <si>
    <t xml:space="preserve">Alle 10 advertenties gepauzeerd klaargezet en door Meta beoordeeld, met UTM-parameters</t>
  </si>
  <si>
    <t xml:space="preserve">Beoordeling kan 24 uur duren; afkeuring op de lanceerdag kost een dag.</t>
  </si>
  <si>
    <t xml:space="preserve">Alle advertenties status 'Actief' (gepauzeerd) en goedgekeurd</t>
  </si>
  <si>
    <t xml:space="preserve">G1-6</t>
  </si>
  <si>
    <t xml:space="preserve">Standaardverbeteringen uit voor tekst en overlays (Advantage+ creative)</t>
  </si>
  <si>
    <t xml:space="preserve">De copyregels zijn juridisch en merkmatig strak: Meta mag niets herschrijven.</t>
  </si>
  <si>
    <t xml:space="preserve">Schermafdruk per advertentie</t>
  </si>
  <si>
    <t xml:space="preserve">G1-7</t>
  </si>
  <si>
    <t xml:space="preserve">Plaatsingen: automatisch, maar Audience Network en Messenger uitgesloten; Reels en Stories 9:16, feed 4:5</t>
  </si>
  <si>
    <t xml:space="preserve">Tijd en geld gaan anders naar de slechtste plaatsingen.</t>
  </si>
  <si>
    <t xml:space="preserve">Plaatsingsoverzicht</t>
  </si>
  <si>
    <t xml:space="preserve">G1-8</t>
  </si>
  <si>
    <t xml:space="preserve">Meldingsregels (alleen e-mail, geen automatisch pauzeren) en kolommenvoorinstelling in Ads Manager</t>
  </si>
  <si>
    <t xml:space="preserve">Houdt het wekelijkse ritme licht.</t>
  </si>
  <si>
    <t xml:space="preserve">Voorinstelling 'BB december' bestaat</t>
  </si>
  <si>
    <t xml:space="preserve">G1-9</t>
  </si>
  <si>
    <t xml:space="preserve">Zorgverzekering-feiten van idee 8 gecontroleerd (Rijksoverheid, zorgverzekeringbesparen.nl)</t>
  </si>
  <si>
    <t xml:space="preserve">Staat nog open voor 9 december.</t>
  </si>
  <si>
    <t xml:space="preserve">Bronlinks in de doc</t>
  </si>
  <si>
    <t xml:space="preserve">Go/No-go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</si>
</sst>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&quot;€ &quot;#,##0;[RED]&quot;-€ &quot;#,##0;\-"/>
    <numFmt numFmtId="166" formatCode="&quot;€ &quot;#,##0.00;[RED]&quot;-€ &quot;#,##0.00;\-"/>
    <numFmt numFmtId="167" formatCode="0.0%;[RED]\-0.0%;\-"/>
    <numFmt numFmtId="168" formatCode="d\ mmm"/>
    <numFmt numFmtId="169" formatCode="d\ mmm\ yyyy"/>
    <numFmt numFmtId="170" formatCode="0"/>
    <numFmt numFmtId="171" formatCode="#,##0"/>
    <numFmt numFmtId="172" formatCode="#,##0.0"/>
    <numFmt numFmtId="173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13B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EEFF"/>
        <bgColor rgb="FFF3F5FA"/>
      </patternFill>
    </fill>
    <fill>
      <patternFill patternType="solid">
        <fgColor rgb="FF013BFF"/>
        <bgColor rgb="FF3366FF"/>
      </patternFill>
    </fill>
    <fill>
      <patternFill patternType="solid">
        <fgColor rgb="FFF3F5FA"/>
        <bgColor rgb="FFE8EE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E6"/>
      </left>
      <right style="thin">
        <color rgb="FFC9D1E6"/>
      </right>
      <top style="thin">
        <color rgb="FFC9D1E6"/>
      </top>
      <bottom style="thin">
        <color rgb="FFC9D1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5FA"/>
      <rgbColor rgb="FFE8EEFF"/>
      <rgbColor rgb="FF660066"/>
      <rgbColor rgb="FFFF8080"/>
      <rgbColor rgb="FF013BFF"/>
      <rgbColor rgb="FFC9D1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7.3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4" customFormat="false" ht="23.8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23.8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2" t="s">
        <v>9</v>
      </c>
    </row>
    <row r="14" customFormat="false" ht="23.8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3" t="s">
        <v>12</v>
      </c>
    </row>
    <row r="17" customFormat="false" ht="23.85" hidden="false" customHeight="false" outlineLevel="0" collapsed="false">
      <c r="B17" s="3" t="s">
        <v>13</v>
      </c>
    </row>
    <row r="18" customFormat="false" ht="15" hidden="false" customHeight="false" outlineLevel="0" collapsed="false">
      <c r="B18" s="3" t="s">
        <v>14</v>
      </c>
    </row>
    <row r="19" customFormat="false" ht="15" hidden="false" customHeight="false" outlineLevel="0" collapsed="false">
      <c r="B19" s="3"/>
    </row>
    <row r="20" customFormat="false" ht="15" hidden="false" customHeight="false" outlineLevel="0" collapsed="false">
      <c r="B20" s="2" t="s">
        <v>15</v>
      </c>
    </row>
    <row r="21" customFormat="false" ht="23.85" hidden="false" customHeight="false" outlineLevel="0" collapsed="false">
      <c r="B21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  <col collapsed="false" customWidth="true" hidden="false" outlineLevel="0" max="13" min="8" style="0" width="11"/>
    <col collapsed="false" customWidth="true" hidden="false" outlineLevel="0" max="18" min="14" style="0" width="12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4" t="s">
        <v>18</v>
      </c>
    </row>
    <row r="4" customFormat="false" ht="15" hidden="false" customHeight="false" outlineLevel="0" collapsed="false">
      <c r="A4" s="5" t="s">
        <v>19</v>
      </c>
      <c r="B4" s="6" t="n">
        <v>400</v>
      </c>
      <c r="C4" s="7" t="s">
        <v>20</v>
      </c>
    </row>
    <row r="5" customFormat="false" ht="23.85" hidden="false" customHeight="false" outlineLevel="0" collapsed="false">
      <c r="A5" s="5" t="s">
        <v>21</v>
      </c>
      <c r="B5" s="8" t="n">
        <v>3.49</v>
      </c>
      <c r="C5" s="7" t="s">
        <v>22</v>
      </c>
    </row>
    <row r="6" customFormat="false" ht="15" hidden="false" customHeight="false" outlineLevel="0" collapsed="false">
      <c r="A6" s="5" t="s">
        <v>23</v>
      </c>
      <c r="B6" s="9" t="n">
        <v>0.21</v>
      </c>
      <c r="C6" s="7" t="s">
        <v>24</v>
      </c>
    </row>
    <row r="7" customFormat="false" ht="15" hidden="false" customHeight="false" outlineLevel="0" collapsed="false">
      <c r="A7" s="5" t="s">
        <v>25</v>
      </c>
      <c r="B7" s="10" t="n">
        <f aca="false">B5/(1+B6)</f>
        <v>2.88429752066116</v>
      </c>
      <c r="C7" s="4" t="s">
        <v>26</v>
      </c>
    </row>
    <row r="8" customFormat="false" ht="15" hidden="false" customHeight="false" outlineLevel="0" collapsed="false">
      <c r="A8" s="5" t="s">
        <v>27</v>
      </c>
      <c r="B8" s="9" t="n">
        <v>0.85</v>
      </c>
      <c r="C8" s="7" t="s">
        <v>28</v>
      </c>
    </row>
    <row r="9" customFormat="false" ht="23.85" hidden="false" customHeight="false" outlineLevel="0" collapsed="false">
      <c r="A9" s="5" t="s">
        <v>29</v>
      </c>
      <c r="B9" s="6" t="n">
        <v>15</v>
      </c>
      <c r="C9" s="7" t="s">
        <v>30</v>
      </c>
    </row>
    <row r="10" customFormat="false" ht="15" hidden="false" customHeight="false" outlineLevel="0" collapsed="false">
      <c r="A10" s="5" t="s">
        <v>31</v>
      </c>
      <c r="B10" s="8" t="n">
        <v>1.5</v>
      </c>
      <c r="C10" s="7" t="s">
        <v>32</v>
      </c>
    </row>
    <row r="11" customFormat="false" ht="15" hidden="false" customHeight="false" outlineLevel="0" collapsed="false">
      <c r="A11" s="5" t="s">
        <v>33</v>
      </c>
      <c r="B11" s="9" t="n">
        <v>0.008</v>
      </c>
      <c r="C11" s="7" t="s">
        <v>32</v>
      </c>
    </row>
    <row r="12" customFormat="false" ht="23.85" hidden="false" customHeight="false" outlineLevel="0" collapsed="false">
      <c r="A12" s="5" t="s">
        <v>34</v>
      </c>
      <c r="B12" s="9" t="n">
        <v>0.3</v>
      </c>
      <c r="C12" s="7" t="s">
        <v>35</v>
      </c>
    </row>
    <row r="13" customFormat="false" ht="15" hidden="false" customHeight="false" outlineLevel="0" collapsed="false">
      <c r="A13" s="5" t="s">
        <v>36</v>
      </c>
      <c r="B13" s="9" t="n">
        <v>0.35</v>
      </c>
      <c r="C13" s="7" t="s">
        <v>37</v>
      </c>
    </row>
    <row r="14" customFormat="false" ht="15" hidden="false" customHeight="false" outlineLevel="0" collapsed="false">
      <c r="A14" s="5" t="s">
        <v>38</v>
      </c>
      <c r="B14" s="11" t="s">
        <v>39</v>
      </c>
      <c r="C14" s="7" t="s">
        <v>40</v>
      </c>
    </row>
    <row r="16" customFormat="false" ht="15" hidden="false" customHeight="false" outlineLevel="0" collapsed="false">
      <c r="A16" s="12" t="s">
        <v>41</v>
      </c>
      <c r="B16" s="12" t="s">
        <v>42</v>
      </c>
      <c r="C16" s="12" t="s">
        <v>43</v>
      </c>
    </row>
    <row r="17" customFormat="false" ht="15" hidden="false" customHeight="false" outlineLevel="0" collapsed="false">
      <c r="A17" s="13" t="s">
        <v>44</v>
      </c>
      <c r="B17" s="9" t="n">
        <v>0.65</v>
      </c>
      <c r="C17" s="14" t="n">
        <f aca="false">$B$4*B17</f>
        <v>260</v>
      </c>
      <c r="D17" s="4" t="s">
        <v>45</v>
      </c>
    </row>
    <row r="18" customFormat="false" ht="15" hidden="false" customHeight="false" outlineLevel="0" collapsed="false">
      <c r="A18" s="13" t="s">
        <v>46</v>
      </c>
      <c r="B18" s="9" t="n">
        <v>0.27</v>
      </c>
      <c r="C18" s="14" t="n">
        <f aca="false">$B$4*B18</f>
        <v>108</v>
      </c>
    </row>
    <row r="19" customFormat="false" ht="15" hidden="false" customHeight="false" outlineLevel="0" collapsed="false">
      <c r="A19" s="13" t="s">
        <v>47</v>
      </c>
      <c r="B19" s="9" t="n">
        <v>0.08</v>
      </c>
      <c r="C19" s="14" t="n">
        <f aca="false">$B$4*B19</f>
        <v>32</v>
      </c>
    </row>
    <row r="20" customFormat="false" ht="15" hidden="false" customHeight="false" outlineLevel="0" collapsed="false">
      <c r="A20" s="13" t="s">
        <v>48</v>
      </c>
      <c r="B20" s="15" t="n">
        <f aca="false">B17+B18+B19</f>
        <v>1</v>
      </c>
    </row>
    <row r="22" customFormat="false" ht="15" hidden="false" customHeight="false" outlineLevel="0" collapsed="false">
      <c r="A22" s="12" t="s">
        <v>49</v>
      </c>
      <c r="B22" s="12" t="s">
        <v>43</v>
      </c>
    </row>
    <row r="23" customFormat="false" ht="15" hidden="false" customHeight="false" outlineLevel="0" collapsed="false">
      <c r="A23" s="13" t="s">
        <v>50</v>
      </c>
      <c r="B23" s="14" t="n">
        <f aca="false">C17</f>
        <v>260</v>
      </c>
    </row>
    <row r="24" customFormat="false" ht="23.85" hidden="false" customHeight="false" outlineLevel="0" collapsed="false">
      <c r="A24" s="5" t="s">
        <v>51</v>
      </c>
      <c r="B24" s="14" t="n">
        <f aca="false">C18+IF(B14="Ja",0,C19)</f>
        <v>140</v>
      </c>
    </row>
    <row r="25" customFormat="false" ht="15" hidden="false" customHeight="false" outlineLevel="0" collapsed="false">
      <c r="A25" s="13" t="s">
        <v>52</v>
      </c>
      <c r="B25" s="14" t="n">
        <f aca="false">IF(B14="Ja",C19,0)</f>
        <v>0</v>
      </c>
    </row>
    <row r="26" customFormat="false" ht="15" hidden="false" customHeight="false" outlineLevel="0" collapsed="false">
      <c r="A26" s="13" t="s">
        <v>53</v>
      </c>
      <c r="B26" s="14" t="n">
        <f aca="false">B23+B24+B25</f>
        <v>400</v>
      </c>
      <c r="C26" s="16" t="str">
        <f aca="false">IF(ROUND(B26-B4,2)=0,"OK","FOUT: verdeling klopt niet")</f>
        <v>OK</v>
      </c>
    </row>
    <row r="28" customFormat="false" ht="15" hidden="false" customHeight="false" outlineLevel="0" collapsed="false">
      <c r="A28" s="16" t="s">
        <v>54</v>
      </c>
    </row>
    <row r="29" customFormat="false" ht="30" hidden="false" customHeight="true" outlineLevel="0" collapsed="false">
      <c r="A29" s="17" t="s">
        <v>55</v>
      </c>
      <c r="B29" s="17" t="s">
        <v>56</v>
      </c>
      <c r="C29" s="17" t="s">
        <v>57</v>
      </c>
      <c r="D29" s="17" t="s">
        <v>58</v>
      </c>
      <c r="E29" s="17" t="s">
        <v>59</v>
      </c>
      <c r="F29" s="17" t="s">
        <v>60</v>
      </c>
      <c r="G29" s="17" t="s">
        <v>61</v>
      </c>
      <c r="H29" s="17" t="s">
        <v>62</v>
      </c>
      <c r="I29" s="17" t="s">
        <v>63</v>
      </c>
      <c r="J29" s="17" t="s">
        <v>64</v>
      </c>
      <c r="K29" s="17" t="s">
        <v>65</v>
      </c>
      <c r="L29" s="17" t="s">
        <v>66</v>
      </c>
      <c r="M29" s="17" t="s">
        <v>67</v>
      </c>
      <c r="N29" s="17" t="s">
        <v>68</v>
      </c>
      <c r="O29" s="17" t="s">
        <v>69</v>
      </c>
      <c r="P29" s="17" t="s">
        <v>70</v>
      </c>
      <c r="Q29" s="17" t="s">
        <v>71</v>
      </c>
      <c r="R29" s="17" t="s">
        <v>72</v>
      </c>
    </row>
    <row r="30" customFormat="false" ht="15" hidden="false" customHeight="false" outlineLevel="0" collapsed="false">
      <c r="A30" s="5" t="s">
        <v>73</v>
      </c>
      <c r="B30" s="18" t="n">
        <v>46349</v>
      </c>
      <c r="C30" s="18" t="n">
        <v>46355</v>
      </c>
      <c r="D30" s="18" t="n">
        <v>46349</v>
      </c>
      <c r="E30" s="18" t="n">
        <v>46355</v>
      </c>
      <c r="F30" s="18" t="n">
        <v>46349</v>
      </c>
      <c r="G30" s="18" t="n">
        <v>46355</v>
      </c>
      <c r="H30" s="18" t="n">
        <v>46349</v>
      </c>
      <c r="I30" s="18" t="n">
        <v>46355</v>
      </c>
      <c r="J30" s="9" t="n">
        <v>0</v>
      </c>
      <c r="K30" s="9" t="n">
        <v>0</v>
      </c>
      <c r="L30" s="9" t="n">
        <v>0</v>
      </c>
      <c r="M30" s="10" t="n">
        <f aca="false">J30*$B$23</f>
        <v>0</v>
      </c>
      <c r="N30" s="10" t="n">
        <f aca="false">K30*$B$24</f>
        <v>0</v>
      </c>
      <c r="O30" s="10" t="n">
        <f aca="false">L30*$B$25</f>
        <v>0</v>
      </c>
      <c r="P30" s="10" t="n">
        <f aca="false">IF(M30=0,0,M30/(E30-D30+1))</f>
        <v>0</v>
      </c>
      <c r="Q30" s="10" t="n">
        <f aca="false">IF(N30=0,0,N30/(G30-F30+1))</f>
        <v>0</v>
      </c>
      <c r="R30" s="10" t="n">
        <f aca="false">IF(O30=0,0,O30/(I30-H30+1))</f>
        <v>0</v>
      </c>
    </row>
    <row r="31" customFormat="false" ht="15" hidden="false" customHeight="false" outlineLevel="0" collapsed="false">
      <c r="A31" s="5" t="s">
        <v>74</v>
      </c>
      <c r="B31" s="18" t="n">
        <v>46356</v>
      </c>
      <c r="C31" s="18" t="n">
        <v>46362</v>
      </c>
      <c r="D31" s="18" t="n">
        <v>46356</v>
      </c>
      <c r="E31" s="18" t="n">
        <v>46362</v>
      </c>
      <c r="F31" s="18" t="n">
        <v>46359</v>
      </c>
      <c r="G31" s="18" t="n">
        <v>46362</v>
      </c>
      <c r="H31" s="18" t="n">
        <v>46356</v>
      </c>
      <c r="I31" s="18" t="n">
        <v>46362</v>
      </c>
      <c r="J31" s="9" t="n">
        <v>0.28</v>
      </c>
      <c r="K31" s="9" t="n">
        <v>0.1</v>
      </c>
      <c r="L31" s="9" t="n">
        <v>0</v>
      </c>
      <c r="M31" s="10" t="n">
        <f aca="false">J31*$B$23</f>
        <v>72.8</v>
      </c>
      <c r="N31" s="10" t="n">
        <f aca="false">K31*$B$24</f>
        <v>14</v>
      </c>
      <c r="O31" s="10" t="n">
        <f aca="false">L31*$B$25</f>
        <v>0</v>
      </c>
      <c r="P31" s="10" t="n">
        <f aca="false">IF(M31=0,0,M31/(E31-D31+1))</f>
        <v>10.4</v>
      </c>
      <c r="Q31" s="10" t="n">
        <f aca="false">IF(N31=0,0,N31/(G31-F31+1))</f>
        <v>3.5</v>
      </c>
      <c r="R31" s="10" t="n">
        <f aca="false">IF(O31=0,0,O31/(I31-H31+1))</f>
        <v>0</v>
      </c>
    </row>
    <row r="32" customFormat="false" ht="15" hidden="false" customHeight="false" outlineLevel="0" collapsed="false">
      <c r="A32" s="5" t="s">
        <v>75</v>
      </c>
      <c r="B32" s="18" t="n">
        <v>46363</v>
      </c>
      <c r="C32" s="18" t="n">
        <v>46369</v>
      </c>
      <c r="D32" s="18" t="n">
        <v>46363</v>
      </c>
      <c r="E32" s="18" t="n">
        <v>46369</v>
      </c>
      <c r="F32" s="18" t="n">
        <v>46363</v>
      </c>
      <c r="G32" s="18" t="n">
        <v>46369</v>
      </c>
      <c r="H32" s="18" t="n">
        <v>46363</v>
      </c>
      <c r="I32" s="18" t="n">
        <v>46369</v>
      </c>
      <c r="J32" s="9" t="n">
        <v>0.26</v>
      </c>
      <c r="K32" s="9" t="n">
        <v>0.25</v>
      </c>
      <c r="L32" s="9" t="n">
        <v>0</v>
      </c>
      <c r="M32" s="10" t="n">
        <f aca="false">J32*$B$23</f>
        <v>67.6</v>
      </c>
      <c r="N32" s="10" t="n">
        <f aca="false">K32*$B$24</f>
        <v>35</v>
      </c>
      <c r="O32" s="10" t="n">
        <f aca="false">L32*$B$25</f>
        <v>0</v>
      </c>
      <c r="P32" s="10" t="n">
        <f aca="false">IF(M32=0,0,M32/(E32-D32+1))</f>
        <v>9.65714285714286</v>
      </c>
      <c r="Q32" s="10" t="n">
        <f aca="false">IF(N32=0,0,N32/(G32-F32+1))</f>
        <v>5</v>
      </c>
      <c r="R32" s="10" t="n">
        <f aca="false">IF(O32=0,0,O32/(I32-H32+1))</f>
        <v>0</v>
      </c>
    </row>
    <row r="33" customFormat="false" ht="15" hidden="false" customHeight="false" outlineLevel="0" collapsed="false">
      <c r="A33" s="5" t="s">
        <v>76</v>
      </c>
      <c r="B33" s="18" t="n">
        <v>46370</v>
      </c>
      <c r="C33" s="18" t="n">
        <v>46375</v>
      </c>
      <c r="D33" s="18" t="n">
        <v>46370</v>
      </c>
      <c r="E33" s="18" t="n">
        <v>46375</v>
      </c>
      <c r="F33" s="18" t="n">
        <v>46370</v>
      </c>
      <c r="G33" s="18" t="n">
        <v>46375</v>
      </c>
      <c r="H33" s="18" t="n">
        <v>46371</v>
      </c>
      <c r="I33" s="18" t="n">
        <v>46375</v>
      </c>
      <c r="J33" s="9" t="n">
        <v>0.21</v>
      </c>
      <c r="K33" s="9" t="n">
        <v>0.35</v>
      </c>
      <c r="L33" s="9" t="n">
        <v>1</v>
      </c>
      <c r="M33" s="10" t="n">
        <f aca="false">J33*$B$23</f>
        <v>54.6</v>
      </c>
      <c r="N33" s="10" t="n">
        <f aca="false">K33*$B$24</f>
        <v>49</v>
      </c>
      <c r="O33" s="10" t="n">
        <f aca="false">L33*$B$25</f>
        <v>0</v>
      </c>
      <c r="P33" s="10" t="n">
        <f aca="false">IF(M33=0,0,M33/(E33-D33+1))</f>
        <v>9.1</v>
      </c>
      <c r="Q33" s="10" t="n">
        <f aca="false">IF(N33=0,0,N33/(G33-F33+1))</f>
        <v>8.16666666666667</v>
      </c>
      <c r="R33" s="10" t="n">
        <f aca="false">IF(O33=0,0,O33/(I33-H33+1))</f>
        <v>0</v>
      </c>
    </row>
    <row r="34" customFormat="false" ht="15" hidden="false" customHeight="false" outlineLevel="0" collapsed="false">
      <c r="A34" s="5" t="s">
        <v>77</v>
      </c>
      <c r="B34" s="18" t="n">
        <v>46376</v>
      </c>
      <c r="C34" s="18" t="n">
        <v>46381</v>
      </c>
      <c r="D34" s="18" t="n">
        <v>46376</v>
      </c>
      <c r="E34" s="18" t="n">
        <v>46378</v>
      </c>
      <c r="F34" s="18" t="n">
        <v>46376</v>
      </c>
      <c r="G34" s="18" t="n">
        <v>46381</v>
      </c>
      <c r="H34" s="18" t="n">
        <v>46376</v>
      </c>
      <c r="I34" s="18" t="n">
        <v>46381</v>
      </c>
      <c r="J34" s="9" t="n">
        <v>0.04</v>
      </c>
      <c r="K34" s="9" t="n">
        <v>0.15</v>
      </c>
      <c r="L34" s="9" t="n">
        <v>0</v>
      </c>
      <c r="M34" s="10" t="n">
        <f aca="false">J34*$B$23</f>
        <v>10.4</v>
      </c>
      <c r="N34" s="10" t="n">
        <f aca="false">K34*$B$24</f>
        <v>21</v>
      </c>
      <c r="O34" s="10" t="n">
        <f aca="false">L34*$B$25</f>
        <v>0</v>
      </c>
      <c r="P34" s="10" t="n">
        <f aca="false">IF(M34=0,0,M34/(E34-D34+1))</f>
        <v>3.46666666666667</v>
      </c>
      <c r="Q34" s="10" t="n">
        <f aca="false">IF(N34=0,0,N34/(G34-F34+1))</f>
        <v>3.5</v>
      </c>
      <c r="R34" s="10" t="n">
        <f aca="false">IF(O34=0,0,O34/(I34-H34+1))</f>
        <v>0</v>
      </c>
    </row>
    <row r="35" customFormat="false" ht="15" hidden="false" customHeight="false" outlineLevel="0" collapsed="false">
      <c r="A35" s="5" t="s">
        <v>78</v>
      </c>
      <c r="B35" s="18" t="n">
        <v>46382</v>
      </c>
      <c r="C35" s="18" t="n">
        <v>46391</v>
      </c>
      <c r="D35" s="18" t="n">
        <v>46382</v>
      </c>
      <c r="E35" s="18" t="n">
        <v>46391</v>
      </c>
      <c r="F35" s="18" t="n">
        <v>46382</v>
      </c>
      <c r="G35" s="18" t="n">
        <v>46391</v>
      </c>
      <c r="H35" s="18" t="n">
        <v>46382</v>
      </c>
      <c r="I35" s="18" t="n">
        <v>46391</v>
      </c>
      <c r="J35" s="9" t="n">
        <v>0.21</v>
      </c>
      <c r="K35" s="9" t="n">
        <v>0.15</v>
      </c>
      <c r="L35" s="9" t="n">
        <v>0</v>
      </c>
      <c r="M35" s="10" t="n">
        <f aca="false">J35*$B$23</f>
        <v>54.6</v>
      </c>
      <c r="N35" s="10" t="n">
        <f aca="false">K35*$B$24</f>
        <v>21</v>
      </c>
      <c r="O35" s="10" t="n">
        <f aca="false">L35*$B$25</f>
        <v>0</v>
      </c>
      <c r="P35" s="10" t="n">
        <f aca="false">IF(M35=0,0,M35/(E35-D35+1))</f>
        <v>5.46</v>
      </c>
      <c r="Q35" s="10" t="n">
        <f aca="false">IF(N35=0,0,N35/(G35-F35+1))</f>
        <v>2.1</v>
      </c>
      <c r="R35" s="10" t="n">
        <f aca="false">IF(O35=0,0,O35/(I35-H35+1))</f>
        <v>0</v>
      </c>
    </row>
    <row r="36" customFormat="false" ht="15" hidden="false" customHeight="false" outlineLevel="0" collapsed="false">
      <c r="A36" s="13" t="s">
        <v>79</v>
      </c>
      <c r="J36" s="15" t="n">
        <f aca="false">SUM(J30:J35)</f>
        <v>1</v>
      </c>
      <c r="K36" s="15" t="n">
        <f aca="false">SUM(K30:K35)</f>
        <v>1</v>
      </c>
      <c r="L36" s="15" t="n">
        <f aca="false">SUM(L30:L35)</f>
        <v>1</v>
      </c>
    </row>
    <row r="37" customFormat="false" ht="15" hidden="false" customHeight="false" outlineLevel="0" collapsed="false">
      <c r="A37" s="13" t="s">
        <v>80</v>
      </c>
      <c r="M37" s="10" t="n">
        <f aca="false">SUM(M30:M35)</f>
        <v>260</v>
      </c>
      <c r="N37" s="10" t="n">
        <f aca="false">SUM(N30:N35)</f>
        <v>140</v>
      </c>
      <c r="O37" s="10" t="n">
        <f aca="false">SUM(O30:O35)</f>
        <v>0</v>
      </c>
    </row>
    <row r="38" customFormat="false" ht="15" hidden="false" customHeight="false" outlineLevel="0" collapsed="false">
      <c r="A38" s="4" t="s">
        <v>81</v>
      </c>
    </row>
  </sheetData>
  <dataValidations count="1">
    <dataValidation allowBlank="false" errorStyle="stop" operator="between" showDropDown="false" showErrorMessage="false" showInputMessage="false" sqref="B14" type="list">
      <formula1>"Ja,Nee"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62"/>
    <col collapsed="false" customWidth="true" hidden="false" outlineLevel="0" max="9" min="6" style="0" width="11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17"/>
    <col collapsed="false" customWidth="true" hidden="false" outlineLevel="0" max="13" min="13" style="0" width="46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4" t="s">
        <v>83</v>
      </c>
    </row>
    <row r="4" customFormat="false" ht="30" hidden="false" customHeight="true" outlineLevel="0" collapsed="false">
      <c r="A4" s="17" t="s">
        <v>84</v>
      </c>
      <c r="B4" s="17" t="s">
        <v>85</v>
      </c>
      <c r="C4" s="17" t="s">
        <v>55</v>
      </c>
      <c r="D4" s="17" t="s">
        <v>86</v>
      </c>
      <c r="E4" s="17" t="s">
        <v>87</v>
      </c>
      <c r="F4" s="17" t="s">
        <v>67</v>
      </c>
      <c r="G4" s="17" t="s">
        <v>68</v>
      </c>
      <c r="H4" s="17" t="s">
        <v>69</v>
      </c>
      <c r="I4" s="17" t="s">
        <v>88</v>
      </c>
      <c r="J4" s="17" t="s">
        <v>89</v>
      </c>
      <c r="K4" s="17" t="s">
        <v>90</v>
      </c>
      <c r="L4" s="17" t="s">
        <v>91</v>
      </c>
      <c r="M4" s="17" t="s">
        <v>92</v>
      </c>
    </row>
    <row r="5" customFormat="false" ht="42" hidden="false" customHeight="true" outlineLevel="0" collapsed="false">
      <c r="A5" s="19" t="n">
        <v>46349</v>
      </c>
      <c r="B5" s="20" t="s">
        <v>93</v>
      </c>
      <c r="C5" s="21" t="str">
        <f aca="false">INDEX(Instellingen!$A$30:$A$35,MATCH(A5,Instellingen!$B$30:$B$35,1))</f>
        <v>F0 Voorbereiding</v>
      </c>
      <c r="D5" s="21" t="s">
        <v>94</v>
      </c>
      <c r="E5" s="21" t="s">
        <v>95</v>
      </c>
      <c r="F5" s="10" t="n">
        <f aca="false">SUMPRODUCT((A5&gt;=Instellingen!$D$30:$D$35)*(A5&lt;=Instellingen!$E$30:$E$35)*Instellingen!$P$30:$P$35)</f>
        <v>0</v>
      </c>
      <c r="G5" s="10" t="n">
        <f aca="false">SUMPRODUCT((A5&gt;=Instellingen!$F$30:$F$35)*(A5&lt;=Instellingen!$G$30:$G$35)*Instellingen!$Q$30:$Q$35)</f>
        <v>0</v>
      </c>
      <c r="H5" s="10" t="n">
        <f aca="false">SUMPRODUCT((A5&gt;=Instellingen!$H$30:$H$35)*(A5&lt;=Instellingen!$I$30:$I$35)*Instellingen!$R$30:$R$35)</f>
        <v>0</v>
      </c>
      <c r="I5" s="22" t="n">
        <f aca="false">SUM(F5:H5)</f>
        <v>0</v>
      </c>
      <c r="J5" s="10" t="n">
        <f aca="false">SUM($I$5:I5)</f>
        <v>0</v>
      </c>
      <c r="K5" s="15" t="n">
        <f aca="false">IF(Instellingen!$B$4=0,0,J5/Instellingen!$B$4)</f>
        <v>0</v>
      </c>
      <c r="L5" s="23" t="s">
        <v>96</v>
      </c>
      <c r="M5" s="24" t="s">
        <v>97</v>
      </c>
    </row>
    <row r="6" customFormat="false" ht="42" hidden="false" customHeight="true" outlineLevel="0" collapsed="false">
      <c r="A6" s="19" t="n">
        <v>46350</v>
      </c>
      <c r="B6" s="20" t="s">
        <v>98</v>
      </c>
      <c r="C6" s="21" t="str">
        <f aca="false">INDEX(Instellingen!$A$30:$A$35,MATCH(A6,Instellingen!$B$30:$B$35,1))</f>
        <v>F0 Voorbereiding</v>
      </c>
      <c r="D6" s="21" t="s">
        <v>99</v>
      </c>
      <c r="E6" s="21" t="s">
        <v>100</v>
      </c>
      <c r="F6" s="10" t="n">
        <f aca="false">SUMPRODUCT((A6&gt;=Instellingen!$D$30:$D$35)*(A6&lt;=Instellingen!$E$30:$E$35)*Instellingen!$P$30:$P$35)</f>
        <v>0</v>
      </c>
      <c r="G6" s="10" t="n">
        <f aca="false">SUMPRODUCT((A6&gt;=Instellingen!$F$30:$F$35)*(A6&lt;=Instellingen!$G$30:$G$35)*Instellingen!$Q$30:$Q$35)</f>
        <v>0</v>
      </c>
      <c r="H6" s="10" t="n">
        <f aca="false">SUMPRODUCT((A6&gt;=Instellingen!$H$30:$H$35)*(A6&lt;=Instellingen!$I$30:$I$35)*Instellingen!$R$30:$R$35)</f>
        <v>0</v>
      </c>
      <c r="I6" s="22" t="n">
        <f aca="false">SUM(F6:H6)</f>
        <v>0</v>
      </c>
      <c r="J6" s="10" t="n">
        <f aca="false">SUM($I$5:I6)</f>
        <v>0</v>
      </c>
      <c r="K6" s="15" t="n">
        <f aca="false">IF(Instellingen!$B$4=0,0,J6/Instellingen!$B$4)</f>
        <v>0</v>
      </c>
      <c r="L6" s="23"/>
      <c r="M6" s="21"/>
    </row>
    <row r="7" customFormat="false" ht="42" hidden="false" customHeight="true" outlineLevel="0" collapsed="false">
      <c r="A7" s="19" t="n">
        <v>46351</v>
      </c>
      <c r="B7" s="20" t="s">
        <v>101</v>
      </c>
      <c r="C7" s="21" t="str">
        <f aca="false">INDEX(Instellingen!$A$30:$A$35,MATCH(A7,Instellingen!$B$30:$B$35,1))</f>
        <v>F0 Voorbereiding</v>
      </c>
      <c r="D7" s="21" t="s">
        <v>99</v>
      </c>
      <c r="E7" s="21" t="s">
        <v>102</v>
      </c>
      <c r="F7" s="10" t="n">
        <f aca="false">SUMPRODUCT((A7&gt;=Instellingen!$D$30:$D$35)*(A7&lt;=Instellingen!$E$30:$E$35)*Instellingen!$P$30:$P$35)</f>
        <v>0</v>
      </c>
      <c r="G7" s="10" t="n">
        <f aca="false">SUMPRODUCT((A7&gt;=Instellingen!$F$30:$F$35)*(A7&lt;=Instellingen!$G$30:$G$35)*Instellingen!$Q$30:$Q$35)</f>
        <v>0</v>
      </c>
      <c r="H7" s="10" t="n">
        <f aca="false">SUMPRODUCT((A7&gt;=Instellingen!$H$30:$H$35)*(A7&lt;=Instellingen!$I$30:$I$35)*Instellingen!$R$30:$R$35)</f>
        <v>0</v>
      </c>
      <c r="I7" s="22" t="n">
        <f aca="false">SUM(F7:H7)</f>
        <v>0</v>
      </c>
      <c r="J7" s="10" t="n">
        <f aca="false">SUM($I$5:I7)</f>
        <v>0</v>
      </c>
      <c r="K7" s="15" t="n">
        <f aca="false">IF(Instellingen!$B$4=0,0,J7/Instellingen!$B$4)</f>
        <v>0</v>
      </c>
      <c r="L7" s="23" t="s">
        <v>103</v>
      </c>
      <c r="M7" s="21"/>
    </row>
    <row r="8" customFormat="false" ht="42" hidden="false" customHeight="true" outlineLevel="0" collapsed="false">
      <c r="A8" s="19" t="n">
        <v>46352</v>
      </c>
      <c r="B8" s="20" t="s">
        <v>104</v>
      </c>
      <c r="C8" s="21" t="str">
        <f aca="false">INDEX(Instellingen!$A$30:$A$35,MATCH(A8,Instellingen!$B$30:$B$35,1))</f>
        <v>F0 Voorbereiding</v>
      </c>
      <c r="D8" s="21" t="s">
        <v>99</v>
      </c>
      <c r="E8" s="21" t="s">
        <v>105</v>
      </c>
      <c r="F8" s="10" t="n">
        <f aca="false">SUMPRODUCT((A8&gt;=Instellingen!$D$30:$D$35)*(A8&lt;=Instellingen!$E$30:$E$35)*Instellingen!$P$30:$P$35)</f>
        <v>0</v>
      </c>
      <c r="G8" s="10" t="n">
        <f aca="false">SUMPRODUCT((A8&gt;=Instellingen!$F$30:$F$35)*(A8&lt;=Instellingen!$G$30:$G$35)*Instellingen!$Q$30:$Q$35)</f>
        <v>0</v>
      </c>
      <c r="H8" s="10" t="n">
        <f aca="false">SUMPRODUCT((A8&gt;=Instellingen!$H$30:$H$35)*(A8&lt;=Instellingen!$I$30:$I$35)*Instellingen!$R$30:$R$35)</f>
        <v>0</v>
      </c>
      <c r="I8" s="22" t="n">
        <f aca="false">SUM(F8:H8)</f>
        <v>0</v>
      </c>
      <c r="J8" s="10" t="n">
        <f aca="false">SUM($I$5:I8)</f>
        <v>0</v>
      </c>
      <c r="K8" s="15" t="n">
        <f aca="false">IF(Instellingen!$B$4=0,0,J8/Instellingen!$B$4)</f>
        <v>0</v>
      </c>
      <c r="L8" s="23"/>
      <c r="M8" s="21"/>
    </row>
    <row r="9" customFormat="false" ht="42" hidden="false" customHeight="true" outlineLevel="0" collapsed="false">
      <c r="A9" s="19" t="n">
        <v>46353</v>
      </c>
      <c r="B9" s="20" t="s">
        <v>106</v>
      </c>
      <c r="C9" s="21" t="str">
        <f aca="false">INDEX(Instellingen!$A$30:$A$35,MATCH(A9,Instellingen!$B$30:$B$35,1))</f>
        <v>F0 Voorbereiding</v>
      </c>
      <c r="D9" s="21" t="s">
        <v>99</v>
      </c>
      <c r="E9" s="21" t="s">
        <v>107</v>
      </c>
      <c r="F9" s="10" t="n">
        <f aca="false">SUMPRODUCT((A9&gt;=Instellingen!$D$30:$D$35)*(A9&lt;=Instellingen!$E$30:$E$35)*Instellingen!$P$30:$P$35)</f>
        <v>0</v>
      </c>
      <c r="G9" s="10" t="n">
        <f aca="false">SUMPRODUCT((A9&gt;=Instellingen!$F$30:$F$35)*(A9&lt;=Instellingen!$G$30:$G$35)*Instellingen!$Q$30:$Q$35)</f>
        <v>0</v>
      </c>
      <c r="H9" s="10" t="n">
        <f aca="false">SUMPRODUCT((A9&gt;=Instellingen!$H$30:$H$35)*(A9&lt;=Instellingen!$I$30:$I$35)*Instellingen!$R$30:$R$35)</f>
        <v>0</v>
      </c>
      <c r="I9" s="22" t="n">
        <f aca="false">SUM(F9:H9)</f>
        <v>0</v>
      </c>
      <c r="J9" s="10" t="n">
        <f aca="false">SUM($I$5:I9)</f>
        <v>0</v>
      </c>
      <c r="K9" s="15" t="n">
        <f aca="false">IF(Instellingen!$B$4=0,0,J9/Instellingen!$B$4)</f>
        <v>0</v>
      </c>
      <c r="L9" s="23" t="s">
        <v>108</v>
      </c>
      <c r="M9" s="24" t="s">
        <v>109</v>
      </c>
    </row>
    <row r="10" customFormat="false" ht="42" hidden="false" customHeight="true" outlineLevel="0" collapsed="false">
      <c r="A10" s="25" t="n">
        <v>46354</v>
      </c>
      <c r="B10" s="26" t="s">
        <v>110</v>
      </c>
      <c r="C10" s="27" t="str">
        <f aca="false">INDEX(Instellingen!$A$30:$A$35,MATCH(A10,Instellingen!$B$30:$B$35,1))</f>
        <v>F0 Voorbereiding</v>
      </c>
      <c r="D10" s="27" t="s">
        <v>111</v>
      </c>
      <c r="E10" s="27" t="s">
        <v>112</v>
      </c>
      <c r="F10" s="28" t="n">
        <f aca="false">SUMPRODUCT((A10&gt;=Instellingen!$D$30:$D$35)*(A10&lt;=Instellingen!$E$30:$E$35)*Instellingen!$P$30:$P$35)</f>
        <v>0</v>
      </c>
      <c r="G10" s="28" t="n">
        <f aca="false">SUMPRODUCT((A10&gt;=Instellingen!$F$30:$F$35)*(A10&lt;=Instellingen!$G$30:$G$35)*Instellingen!$Q$30:$Q$35)</f>
        <v>0</v>
      </c>
      <c r="H10" s="28" t="n">
        <f aca="false">SUMPRODUCT((A10&gt;=Instellingen!$H$30:$H$35)*(A10&lt;=Instellingen!$I$30:$I$35)*Instellingen!$R$30:$R$35)</f>
        <v>0</v>
      </c>
      <c r="I10" s="29" t="n">
        <f aca="false">SUM(F10:H10)</f>
        <v>0</v>
      </c>
      <c r="J10" s="28" t="n">
        <f aca="false">SUM($I$5:I10)</f>
        <v>0</v>
      </c>
      <c r="K10" s="30" t="n">
        <f aca="false">IF(Instellingen!$B$4=0,0,J10/Instellingen!$B$4)</f>
        <v>0</v>
      </c>
      <c r="L10" s="31"/>
      <c r="M10" s="27"/>
    </row>
    <row r="11" customFormat="false" ht="27.75" hidden="false" customHeight="true" outlineLevel="0" collapsed="false">
      <c r="A11" s="25" t="n">
        <v>46355</v>
      </c>
      <c r="B11" s="26" t="s">
        <v>113</v>
      </c>
      <c r="C11" s="27" t="str">
        <f aca="false">INDEX(Instellingen!$A$30:$A$35,MATCH(A11,Instellingen!$B$30:$B$35,1))</f>
        <v>F0 Voorbereiding</v>
      </c>
      <c r="D11" s="27" t="s">
        <v>99</v>
      </c>
      <c r="E11" s="27" t="s">
        <v>114</v>
      </c>
      <c r="F11" s="28" t="n">
        <f aca="false">SUMPRODUCT((A11&gt;=Instellingen!$D$30:$D$35)*(A11&lt;=Instellingen!$E$30:$E$35)*Instellingen!$P$30:$P$35)</f>
        <v>0</v>
      </c>
      <c r="G11" s="28" t="n">
        <f aca="false">SUMPRODUCT((A11&gt;=Instellingen!$F$30:$F$35)*(A11&lt;=Instellingen!$G$30:$G$35)*Instellingen!$Q$30:$Q$35)</f>
        <v>0</v>
      </c>
      <c r="H11" s="28" t="n">
        <f aca="false">SUMPRODUCT((A11&gt;=Instellingen!$H$30:$H$35)*(A11&lt;=Instellingen!$I$30:$I$35)*Instellingen!$R$30:$R$35)</f>
        <v>0</v>
      </c>
      <c r="I11" s="29" t="n">
        <f aca="false">SUM(F11:H11)</f>
        <v>0</v>
      </c>
      <c r="J11" s="28" t="n">
        <f aca="false">SUM($I$5:I11)</f>
        <v>0</v>
      </c>
      <c r="K11" s="30" t="n">
        <f aca="false">IF(Instellingen!$B$4=0,0,J11/Instellingen!$B$4)</f>
        <v>0</v>
      </c>
      <c r="L11" s="31"/>
      <c r="M11" s="27"/>
    </row>
    <row r="12" customFormat="false" ht="42" hidden="false" customHeight="true" outlineLevel="0" collapsed="false">
      <c r="A12" s="19" t="n">
        <v>46356</v>
      </c>
      <c r="B12" s="20" t="s">
        <v>93</v>
      </c>
      <c r="C12" s="21" t="str">
        <f aca="false">INDEX(Instellingen!$A$30:$A$35,MATCH(A12,Instellingen!$B$30:$B$35,1))</f>
        <v>F1 Na Black Friday en lijstjestijd</v>
      </c>
      <c r="D12" s="21" t="s">
        <v>99</v>
      </c>
      <c r="E12" s="21" t="s">
        <v>115</v>
      </c>
      <c r="F12" s="10" t="n">
        <f aca="false">SUMPRODUCT((A12&gt;=Instellingen!$D$30:$D$35)*(A12&lt;=Instellingen!$E$30:$E$35)*Instellingen!$P$30:$P$35)</f>
        <v>10.4</v>
      </c>
      <c r="G12" s="10" t="n">
        <f aca="false">SUMPRODUCT((A12&gt;=Instellingen!$F$30:$F$35)*(A12&lt;=Instellingen!$G$30:$G$35)*Instellingen!$Q$30:$Q$35)</f>
        <v>0</v>
      </c>
      <c r="H12" s="10" t="n">
        <f aca="false">SUMPRODUCT((A12&gt;=Instellingen!$H$30:$H$35)*(A12&lt;=Instellingen!$I$30:$I$35)*Instellingen!$R$30:$R$35)</f>
        <v>0</v>
      </c>
      <c r="I12" s="22" t="n">
        <f aca="false">SUM(F12:H12)</f>
        <v>10.4</v>
      </c>
      <c r="J12" s="10" t="n">
        <f aca="false">SUM($I$5:I12)</f>
        <v>10.4</v>
      </c>
      <c r="K12" s="15" t="n">
        <f aca="false">IF(Instellingen!$B$4=0,0,J12/Instellingen!$B$4)</f>
        <v>0.026</v>
      </c>
      <c r="L12" s="23" t="s">
        <v>96</v>
      </c>
      <c r="M12" s="24" t="s">
        <v>116</v>
      </c>
    </row>
    <row r="13" customFormat="false" ht="42" hidden="false" customHeight="true" outlineLevel="0" collapsed="false">
      <c r="A13" s="19" t="n">
        <v>46357</v>
      </c>
      <c r="B13" s="20" t="s">
        <v>98</v>
      </c>
      <c r="C13" s="21" t="str">
        <f aca="false">INDEX(Instellingen!$A$30:$A$35,MATCH(A13,Instellingen!$B$30:$B$35,1))</f>
        <v>F1 Na Black Friday en lijstjestijd</v>
      </c>
      <c r="D13" s="21" t="s">
        <v>117</v>
      </c>
      <c r="E13" s="21" t="s">
        <v>118</v>
      </c>
      <c r="F13" s="10" t="n">
        <f aca="false">SUMPRODUCT((A13&gt;=Instellingen!$D$30:$D$35)*(A13&lt;=Instellingen!$E$30:$E$35)*Instellingen!$P$30:$P$35)</f>
        <v>10.4</v>
      </c>
      <c r="G13" s="10" t="n">
        <f aca="false">SUMPRODUCT((A13&gt;=Instellingen!$F$30:$F$35)*(A13&lt;=Instellingen!$G$30:$G$35)*Instellingen!$Q$30:$Q$35)</f>
        <v>0</v>
      </c>
      <c r="H13" s="10" t="n">
        <f aca="false">SUMPRODUCT((A13&gt;=Instellingen!$H$30:$H$35)*(A13&lt;=Instellingen!$I$30:$I$35)*Instellingen!$R$30:$R$35)</f>
        <v>0</v>
      </c>
      <c r="I13" s="22" t="n">
        <f aca="false">SUM(F13:H13)</f>
        <v>10.4</v>
      </c>
      <c r="J13" s="10" t="n">
        <f aca="false">SUM($I$5:I13)</f>
        <v>20.8</v>
      </c>
      <c r="K13" s="15" t="n">
        <f aca="false">IF(Instellingen!$B$4=0,0,J13/Instellingen!$B$4)</f>
        <v>0.052</v>
      </c>
      <c r="L13" s="23"/>
      <c r="M13" s="21"/>
    </row>
    <row r="14" customFormat="false" ht="42" hidden="false" customHeight="true" outlineLevel="0" collapsed="false">
      <c r="A14" s="19" t="n">
        <v>46358</v>
      </c>
      <c r="B14" s="20" t="s">
        <v>101</v>
      </c>
      <c r="C14" s="21" t="str">
        <f aca="false">INDEX(Instellingen!$A$30:$A$35,MATCH(A14,Instellingen!$B$30:$B$35,1))</f>
        <v>F1 Na Black Friday en lijstjestijd</v>
      </c>
      <c r="D14" s="21" t="s">
        <v>119</v>
      </c>
      <c r="E14" s="21" t="s">
        <v>120</v>
      </c>
      <c r="F14" s="10" t="n">
        <f aca="false">SUMPRODUCT((A14&gt;=Instellingen!$D$30:$D$35)*(A14&lt;=Instellingen!$E$30:$E$35)*Instellingen!$P$30:$P$35)</f>
        <v>10.4</v>
      </c>
      <c r="G14" s="10" t="n">
        <f aca="false">SUMPRODUCT((A14&gt;=Instellingen!$F$30:$F$35)*(A14&lt;=Instellingen!$G$30:$G$35)*Instellingen!$Q$30:$Q$35)</f>
        <v>0</v>
      </c>
      <c r="H14" s="10" t="n">
        <f aca="false">SUMPRODUCT((A14&gt;=Instellingen!$H$30:$H$35)*(A14&lt;=Instellingen!$I$30:$I$35)*Instellingen!$R$30:$R$35)</f>
        <v>0</v>
      </c>
      <c r="I14" s="22" t="n">
        <f aca="false">SUM(F14:H14)</f>
        <v>10.4</v>
      </c>
      <c r="J14" s="10" t="n">
        <f aca="false">SUM($I$5:I14)</f>
        <v>31.2</v>
      </c>
      <c r="K14" s="15" t="n">
        <f aca="false">IF(Instellingen!$B$4=0,0,J14/Instellingen!$B$4)</f>
        <v>0.078</v>
      </c>
      <c r="L14" s="23" t="s">
        <v>103</v>
      </c>
      <c r="M14" s="21"/>
    </row>
    <row r="15" customFormat="false" ht="42" hidden="false" customHeight="true" outlineLevel="0" collapsed="false">
      <c r="A15" s="19" t="n">
        <v>46359</v>
      </c>
      <c r="B15" s="20" t="s">
        <v>104</v>
      </c>
      <c r="C15" s="21" t="str">
        <f aca="false">INDEX(Instellingen!$A$30:$A$35,MATCH(A15,Instellingen!$B$30:$B$35,1))</f>
        <v>F1 Na Black Friday en lijstjestijd</v>
      </c>
      <c r="D15" s="21" t="s">
        <v>121</v>
      </c>
      <c r="E15" s="21" t="s">
        <v>122</v>
      </c>
      <c r="F15" s="10" t="n">
        <f aca="false">SUMPRODUCT((A15&gt;=Instellingen!$D$30:$D$35)*(A15&lt;=Instellingen!$E$30:$E$35)*Instellingen!$P$30:$P$35)</f>
        <v>10.4</v>
      </c>
      <c r="G15" s="10" t="n">
        <f aca="false">SUMPRODUCT((A15&gt;=Instellingen!$F$30:$F$35)*(A15&lt;=Instellingen!$G$30:$G$35)*Instellingen!$Q$30:$Q$35)</f>
        <v>3.5</v>
      </c>
      <c r="H15" s="10" t="n">
        <f aca="false">SUMPRODUCT((A15&gt;=Instellingen!$H$30:$H$35)*(A15&lt;=Instellingen!$I$30:$I$35)*Instellingen!$R$30:$R$35)</f>
        <v>0</v>
      </c>
      <c r="I15" s="22" t="n">
        <f aca="false">SUM(F15:H15)</f>
        <v>13.9</v>
      </c>
      <c r="J15" s="10" t="n">
        <f aca="false">SUM($I$5:I15)</f>
        <v>45.1</v>
      </c>
      <c r="K15" s="15" t="n">
        <f aca="false">IF(Instellingen!$B$4=0,0,J15/Instellingen!$B$4)</f>
        <v>0.11275</v>
      </c>
      <c r="L15" s="23"/>
      <c r="M15" s="21"/>
    </row>
    <row r="16" customFormat="false" ht="42" hidden="false" customHeight="true" outlineLevel="0" collapsed="false">
      <c r="A16" s="19" t="n">
        <v>46360</v>
      </c>
      <c r="B16" s="20" t="s">
        <v>106</v>
      </c>
      <c r="C16" s="21" t="str">
        <f aca="false">INDEX(Instellingen!$A$30:$A$35,MATCH(A16,Instellingen!$B$30:$B$35,1))</f>
        <v>F1 Na Black Friday en lijstjestijd</v>
      </c>
      <c r="D16" s="21" t="s">
        <v>123</v>
      </c>
      <c r="E16" s="21" t="s">
        <v>124</v>
      </c>
      <c r="F16" s="10" t="n">
        <f aca="false">SUMPRODUCT((A16&gt;=Instellingen!$D$30:$D$35)*(A16&lt;=Instellingen!$E$30:$E$35)*Instellingen!$P$30:$P$35)</f>
        <v>10.4</v>
      </c>
      <c r="G16" s="10" t="n">
        <f aca="false">SUMPRODUCT((A16&gt;=Instellingen!$F$30:$F$35)*(A16&lt;=Instellingen!$G$30:$G$35)*Instellingen!$Q$30:$Q$35)</f>
        <v>3.5</v>
      </c>
      <c r="H16" s="10" t="n">
        <f aca="false">SUMPRODUCT((A16&gt;=Instellingen!$H$30:$H$35)*(A16&lt;=Instellingen!$I$30:$I$35)*Instellingen!$R$30:$R$35)</f>
        <v>0</v>
      </c>
      <c r="I16" s="22" t="n">
        <f aca="false">SUM(F16:H16)</f>
        <v>13.9</v>
      </c>
      <c r="J16" s="10" t="n">
        <f aca="false">SUM($I$5:I16)</f>
        <v>59</v>
      </c>
      <c r="K16" s="15" t="n">
        <f aca="false">IF(Instellingen!$B$4=0,0,J16/Instellingen!$B$4)</f>
        <v>0.1475</v>
      </c>
      <c r="L16" s="23" t="s">
        <v>108</v>
      </c>
      <c r="M16" s="21"/>
    </row>
    <row r="17" customFormat="false" ht="27.75" hidden="false" customHeight="true" outlineLevel="0" collapsed="false">
      <c r="A17" s="25" t="n">
        <v>46361</v>
      </c>
      <c r="B17" s="26" t="s">
        <v>110</v>
      </c>
      <c r="C17" s="27" t="str">
        <f aca="false">INDEX(Instellingen!$A$30:$A$35,MATCH(A17,Instellingen!$B$30:$B$35,1))</f>
        <v>F1 Na Black Friday en lijstjestijd</v>
      </c>
      <c r="D17" s="27" t="s">
        <v>125</v>
      </c>
      <c r="E17" s="27" t="s">
        <v>126</v>
      </c>
      <c r="F17" s="28" t="n">
        <f aca="false">SUMPRODUCT((A17&gt;=Instellingen!$D$30:$D$35)*(A17&lt;=Instellingen!$E$30:$E$35)*Instellingen!$P$30:$P$35)</f>
        <v>10.4</v>
      </c>
      <c r="G17" s="28" t="n">
        <f aca="false">SUMPRODUCT((A17&gt;=Instellingen!$F$30:$F$35)*(A17&lt;=Instellingen!$G$30:$G$35)*Instellingen!$Q$30:$Q$35)</f>
        <v>3.5</v>
      </c>
      <c r="H17" s="28" t="n">
        <f aca="false">SUMPRODUCT((A17&gt;=Instellingen!$H$30:$H$35)*(A17&lt;=Instellingen!$I$30:$I$35)*Instellingen!$R$30:$R$35)</f>
        <v>0</v>
      </c>
      <c r="I17" s="29" t="n">
        <f aca="false">SUM(F17:H17)</f>
        <v>13.9</v>
      </c>
      <c r="J17" s="28" t="n">
        <f aca="false">SUM($I$5:I17)</f>
        <v>72.9</v>
      </c>
      <c r="K17" s="30" t="n">
        <f aca="false">IF(Instellingen!$B$4=0,0,J17/Instellingen!$B$4)</f>
        <v>0.18225</v>
      </c>
      <c r="L17" s="31"/>
      <c r="M17" s="27"/>
    </row>
    <row r="18" customFormat="false" ht="42" hidden="false" customHeight="true" outlineLevel="0" collapsed="false">
      <c r="A18" s="25" t="n">
        <v>46362</v>
      </c>
      <c r="B18" s="26" t="s">
        <v>113</v>
      </c>
      <c r="C18" s="27" t="str">
        <f aca="false">INDEX(Instellingen!$A$30:$A$35,MATCH(A18,Instellingen!$B$30:$B$35,1))</f>
        <v>F1 Na Black Friday en lijstjestijd</v>
      </c>
      <c r="D18" s="27" t="s">
        <v>127</v>
      </c>
      <c r="E18" s="27" t="s">
        <v>128</v>
      </c>
      <c r="F18" s="28" t="n">
        <f aca="false">SUMPRODUCT((A18&gt;=Instellingen!$D$30:$D$35)*(A18&lt;=Instellingen!$E$30:$E$35)*Instellingen!$P$30:$P$35)</f>
        <v>10.4</v>
      </c>
      <c r="G18" s="28" t="n">
        <f aca="false">SUMPRODUCT((A18&gt;=Instellingen!$F$30:$F$35)*(A18&lt;=Instellingen!$G$30:$G$35)*Instellingen!$Q$30:$Q$35)</f>
        <v>3.5</v>
      </c>
      <c r="H18" s="28" t="n">
        <f aca="false">SUMPRODUCT((A18&gt;=Instellingen!$H$30:$H$35)*(A18&lt;=Instellingen!$I$30:$I$35)*Instellingen!$R$30:$R$35)</f>
        <v>0</v>
      </c>
      <c r="I18" s="29" t="n">
        <f aca="false">SUM(F18:H18)</f>
        <v>13.9</v>
      </c>
      <c r="J18" s="28" t="n">
        <f aca="false">SUM($I$5:I18)</f>
        <v>86.8</v>
      </c>
      <c r="K18" s="30" t="n">
        <f aca="false">IF(Instellingen!$B$4=0,0,J18/Instellingen!$B$4)</f>
        <v>0.217</v>
      </c>
      <c r="L18" s="31"/>
      <c r="M18" s="24" t="s">
        <v>129</v>
      </c>
    </row>
    <row r="19" customFormat="false" ht="42" hidden="false" customHeight="true" outlineLevel="0" collapsed="false">
      <c r="A19" s="19" t="n">
        <v>46363</v>
      </c>
      <c r="B19" s="20" t="s">
        <v>93</v>
      </c>
      <c r="C19" s="21" t="str">
        <f aca="false">INDEX(Instellingen!$A$30:$A$35,MATCH(A19,Instellingen!$B$30:$B$35,1))</f>
        <v>F2 Volle agenda</v>
      </c>
      <c r="D19" s="21" t="s">
        <v>123</v>
      </c>
      <c r="E19" s="21" t="s">
        <v>130</v>
      </c>
      <c r="F19" s="10" t="n">
        <f aca="false">SUMPRODUCT((A19&gt;=Instellingen!$D$30:$D$35)*(A19&lt;=Instellingen!$E$30:$E$35)*Instellingen!$P$30:$P$35)</f>
        <v>9.65714285714286</v>
      </c>
      <c r="G19" s="10" t="n">
        <f aca="false">SUMPRODUCT((A19&gt;=Instellingen!$F$30:$F$35)*(A19&lt;=Instellingen!$G$30:$G$35)*Instellingen!$Q$30:$Q$35)</f>
        <v>5</v>
      </c>
      <c r="H19" s="10" t="n">
        <f aca="false">SUMPRODUCT((A19&gt;=Instellingen!$H$30:$H$35)*(A19&lt;=Instellingen!$I$30:$I$35)*Instellingen!$R$30:$R$35)</f>
        <v>0</v>
      </c>
      <c r="I19" s="22" t="n">
        <f aca="false">SUM(F19:H19)</f>
        <v>14.6571428571429</v>
      </c>
      <c r="J19" s="10" t="n">
        <f aca="false">SUM($I$5:I19)</f>
        <v>101.457142857143</v>
      </c>
      <c r="K19" s="15" t="n">
        <f aca="false">IF(Instellingen!$B$4=0,0,J19/Instellingen!$B$4)</f>
        <v>0.253642857142857</v>
      </c>
      <c r="L19" s="23" t="s">
        <v>96</v>
      </c>
      <c r="M19" s="24" t="s">
        <v>131</v>
      </c>
    </row>
    <row r="20" customFormat="false" ht="27.75" hidden="false" customHeight="true" outlineLevel="0" collapsed="false">
      <c r="A20" s="19" t="n">
        <v>46364</v>
      </c>
      <c r="B20" s="20" t="s">
        <v>98</v>
      </c>
      <c r="C20" s="21" t="str">
        <f aca="false">INDEX(Instellingen!$A$30:$A$35,MATCH(A20,Instellingen!$B$30:$B$35,1))</f>
        <v>F2 Volle agenda</v>
      </c>
      <c r="D20" s="21" t="s">
        <v>132</v>
      </c>
      <c r="E20" s="21" t="s">
        <v>133</v>
      </c>
      <c r="F20" s="10" t="n">
        <f aca="false">SUMPRODUCT((A20&gt;=Instellingen!$D$30:$D$35)*(A20&lt;=Instellingen!$E$30:$E$35)*Instellingen!$P$30:$P$35)</f>
        <v>9.65714285714286</v>
      </c>
      <c r="G20" s="10" t="n">
        <f aca="false">SUMPRODUCT((A20&gt;=Instellingen!$F$30:$F$35)*(A20&lt;=Instellingen!$G$30:$G$35)*Instellingen!$Q$30:$Q$35)</f>
        <v>5</v>
      </c>
      <c r="H20" s="10" t="n">
        <f aca="false">SUMPRODUCT((A20&gt;=Instellingen!$H$30:$H$35)*(A20&lt;=Instellingen!$I$30:$I$35)*Instellingen!$R$30:$R$35)</f>
        <v>0</v>
      </c>
      <c r="I20" s="22" t="n">
        <f aca="false">SUM(F20:H20)</f>
        <v>14.6571428571429</v>
      </c>
      <c r="J20" s="10" t="n">
        <f aca="false">SUM($I$5:I20)</f>
        <v>116.114285714286</v>
      </c>
      <c r="K20" s="15" t="n">
        <f aca="false">IF(Instellingen!$B$4=0,0,J20/Instellingen!$B$4)</f>
        <v>0.290285714285714</v>
      </c>
      <c r="L20" s="23"/>
      <c r="M20" s="21"/>
    </row>
    <row r="21" customFormat="false" ht="42" hidden="false" customHeight="true" outlineLevel="0" collapsed="false">
      <c r="A21" s="19" t="n">
        <v>46365</v>
      </c>
      <c r="B21" s="20" t="s">
        <v>101</v>
      </c>
      <c r="C21" s="21" t="str">
        <f aca="false">INDEX(Instellingen!$A$30:$A$35,MATCH(A21,Instellingen!$B$30:$B$35,1))</f>
        <v>F2 Volle agenda</v>
      </c>
      <c r="D21" s="21" t="s">
        <v>134</v>
      </c>
      <c r="E21" s="21" t="s">
        <v>135</v>
      </c>
      <c r="F21" s="10" t="n">
        <f aca="false">SUMPRODUCT((A21&gt;=Instellingen!$D$30:$D$35)*(A21&lt;=Instellingen!$E$30:$E$35)*Instellingen!$P$30:$P$35)</f>
        <v>9.65714285714286</v>
      </c>
      <c r="G21" s="10" t="n">
        <f aca="false">SUMPRODUCT((A21&gt;=Instellingen!$F$30:$F$35)*(A21&lt;=Instellingen!$G$30:$G$35)*Instellingen!$Q$30:$Q$35)</f>
        <v>5</v>
      </c>
      <c r="H21" s="10" t="n">
        <f aca="false">SUMPRODUCT((A21&gt;=Instellingen!$H$30:$H$35)*(A21&lt;=Instellingen!$I$30:$I$35)*Instellingen!$R$30:$R$35)</f>
        <v>0</v>
      </c>
      <c r="I21" s="22" t="n">
        <f aca="false">SUM(F21:H21)</f>
        <v>14.6571428571429</v>
      </c>
      <c r="J21" s="10" t="n">
        <f aca="false">SUM($I$5:I21)</f>
        <v>130.771428571429</v>
      </c>
      <c r="K21" s="15" t="n">
        <f aca="false">IF(Instellingen!$B$4=0,0,J21/Instellingen!$B$4)</f>
        <v>0.326928571428572</v>
      </c>
      <c r="L21" s="23" t="s">
        <v>103</v>
      </c>
      <c r="M21" s="5" t="s">
        <v>136</v>
      </c>
    </row>
    <row r="22" customFormat="false" ht="27.75" hidden="false" customHeight="true" outlineLevel="0" collapsed="false">
      <c r="A22" s="19" t="n">
        <v>46366</v>
      </c>
      <c r="B22" s="20" t="s">
        <v>104</v>
      </c>
      <c r="C22" s="21" t="str">
        <f aca="false">INDEX(Instellingen!$A$30:$A$35,MATCH(A22,Instellingen!$B$30:$B$35,1))</f>
        <v>F2 Volle agenda</v>
      </c>
      <c r="D22" s="21" t="s">
        <v>137</v>
      </c>
      <c r="E22" s="21" t="s">
        <v>138</v>
      </c>
      <c r="F22" s="10" t="n">
        <f aca="false">SUMPRODUCT((A22&gt;=Instellingen!$D$30:$D$35)*(A22&lt;=Instellingen!$E$30:$E$35)*Instellingen!$P$30:$P$35)</f>
        <v>9.65714285714286</v>
      </c>
      <c r="G22" s="10" t="n">
        <f aca="false">SUMPRODUCT((A22&gt;=Instellingen!$F$30:$F$35)*(A22&lt;=Instellingen!$G$30:$G$35)*Instellingen!$Q$30:$Q$35)</f>
        <v>5</v>
      </c>
      <c r="H22" s="10" t="n">
        <f aca="false">SUMPRODUCT((A22&gt;=Instellingen!$H$30:$H$35)*(A22&lt;=Instellingen!$I$30:$I$35)*Instellingen!$R$30:$R$35)</f>
        <v>0</v>
      </c>
      <c r="I22" s="22" t="n">
        <f aca="false">SUM(F22:H22)</f>
        <v>14.6571428571429</v>
      </c>
      <c r="J22" s="10" t="n">
        <f aca="false">SUM($I$5:I22)</f>
        <v>145.428571428571</v>
      </c>
      <c r="K22" s="15" t="n">
        <f aca="false">IF(Instellingen!$B$4=0,0,J22/Instellingen!$B$4)</f>
        <v>0.363571428571429</v>
      </c>
      <c r="L22" s="23"/>
      <c r="M22" s="21"/>
    </row>
    <row r="23" customFormat="false" ht="42" hidden="false" customHeight="true" outlineLevel="0" collapsed="false">
      <c r="A23" s="19" t="n">
        <v>46367</v>
      </c>
      <c r="B23" s="20" t="s">
        <v>106</v>
      </c>
      <c r="C23" s="21" t="str">
        <f aca="false">INDEX(Instellingen!$A$30:$A$35,MATCH(A23,Instellingen!$B$30:$B$35,1))</f>
        <v>F2 Volle agenda</v>
      </c>
      <c r="D23" s="21" t="s">
        <v>123</v>
      </c>
      <c r="E23" s="21" t="s">
        <v>139</v>
      </c>
      <c r="F23" s="10" t="n">
        <f aca="false">SUMPRODUCT((A23&gt;=Instellingen!$D$30:$D$35)*(A23&lt;=Instellingen!$E$30:$E$35)*Instellingen!$P$30:$P$35)</f>
        <v>9.65714285714286</v>
      </c>
      <c r="G23" s="10" t="n">
        <f aca="false">SUMPRODUCT((A23&gt;=Instellingen!$F$30:$F$35)*(A23&lt;=Instellingen!$G$30:$G$35)*Instellingen!$Q$30:$Q$35)</f>
        <v>5</v>
      </c>
      <c r="H23" s="10" t="n">
        <f aca="false">SUMPRODUCT((A23&gt;=Instellingen!$H$30:$H$35)*(A23&lt;=Instellingen!$I$30:$I$35)*Instellingen!$R$30:$R$35)</f>
        <v>0</v>
      </c>
      <c r="I23" s="22" t="n">
        <f aca="false">SUM(F23:H23)</f>
        <v>14.6571428571429</v>
      </c>
      <c r="J23" s="10" t="n">
        <f aca="false">SUM($I$5:I23)</f>
        <v>160.085714285714</v>
      </c>
      <c r="K23" s="15" t="n">
        <f aca="false">IF(Instellingen!$B$4=0,0,J23/Instellingen!$B$4)</f>
        <v>0.400214285714286</v>
      </c>
      <c r="L23" s="23" t="s">
        <v>108</v>
      </c>
      <c r="M23" s="21"/>
    </row>
    <row r="24" customFormat="false" ht="27.75" hidden="false" customHeight="true" outlineLevel="0" collapsed="false">
      <c r="A24" s="25" t="n">
        <v>46368</v>
      </c>
      <c r="B24" s="26" t="s">
        <v>110</v>
      </c>
      <c r="C24" s="27" t="str">
        <f aca="false">INDEX(Instellingen!$A$30:$A$35,MATCH(A24,Instellingen!$B$30:$B$35,1))</f>
        <v>F2 Volle agenda</v>
      </c>
      <c r="D24" s="27" t="s">
        <v>123</v>
      </c>
      <c r="E24" s="27" t="s">
        <v>99</v>
      </c>
      <c r="F24" s="28" t="n">
        <f aca="false">SUMPRODUCT((A24&gt;=Instellingen!$D$30:$D$35)*(A24&lt;=Instellingen!$E$30:$E$35)*Instellingen!$P$30:$P$35)</f>
        <v>9.65714285714286</v>
      </c>
      <c r="G24" s="28" t="n">
        <f aca="false">SUMPRODUCT((A24&gt;=Instellingen!$F$30:$F$35)*(A24&lt;=Instellingen!$G$30:$G$35)*Instellingen!$Q$30:$Q$35)</f>
        <v>5</v>
      </c>
      <c r="H24" s="28" t="n">
        <f aca="false">SUMPRODUCT((A24&gt;=Instellingen!$H$30:$H$35)*(A24&lt;=Instellingen!$I$30:$I$35)*Instellingen!$R$30:$R$35)</f>
        <v>0</v>
      </c>
      <c r="I24" s="29" t="n">
        <f aca="false">SUM(F24:H24)</f>
        <v>14.6571428571429</v>
      </c>
      <c r="J24" s="28" t="n">
        <f aca="false">SUM($I$5:I24)</f>
        <v>174.742857142857</v>
      </c>
      <c r="K24" s="30" t="n">
        <f aca="false">IF(Instellingen!$B$4=0,0,J24/Instellingen!$B$4)</f>
        <v>0.436857142857143</v>
      </c>
      <c r="L24" s="31"/>
      <c r="M24" s="27"/>
    </row>
    <row r="25" customFormat="false" ht="27.75" hidden="false" customHeight="true" outlineLevel="0" collapsed="false">
      <c r="A25" s="25" t="n">
        <v>46369</v>
      </c>
      <c r="B25" s="26" t="s">
        <v>113</v>
      </c>
      <c r="C25" s="27" t="str">
        <f aca="false">INDEX(Instellingen!$A$30:$A$35,MATCH(A25,Instellingen!$B$30:$B$35,1))</f>
        <v>F2 Volle agenda</v>
      </c>
      <c r="D25" s="27" t="s">
        <v>123</v>
      </c>
      <c r="E25" s="27" t="s">
        <v>99</v>
      </c>
      <c r="F25" s="28" t="n">
        <f aca="false">SUMPRODUCT((A25&gt;=Instellingen!$D$30:$D$35)*(A25&lt;=Instellingen!$E$30:$E$35)*Instellingen!$P$30:$P$35)</f>
        <v>9.65714285714286</v>
      </c>
      <c r="G25" s="28" t="n">
        <f aca="false">SUMPRODUCT((A25&gt;=Instellingen!$F$30:$F$35)*(A25&lt;=Instellingen!$G$30:$G$35)*Instellingen!$Q$30:$Q$35)</f>
        <v>5</v>
      </c>
      <c r="H25" s="28" t="n">
        <f aca="false">SUMPRODUCT((A25&gt;=Instellingen!$H$30:$H$35)*(A25&lt;=Instellingen!$I$30:$I$35)*Instellingen!$R$30:$R$35)</f>
        <v>0</v>
      </c>
      <c r="I25" s="29" t="n">
        <f aca="false">SUM(F25:H25)</f>
        <v>14.6571428571429</v>
      </c>
      <c r="J25" s="28" t="n">
        <f aca="false">SUM($I$5:I25)</f>
        <v>189.4</v>
      </c>
      <c r="K25" s="30" t="n">
        <f aca="false">IF(Instellingen!$B$4=0,0,J25/Instellingen!$B$4)</f>
        <v>0.4735</v>
      </c>
      <c r="L25" s="31"/>
      <c r="M25" s="27"/>
    </row>
    <row r="26" customFormat="false" ht="42" hidden="false" customHeight="true" outlineLevel="0" collapsed="false">
      <c r="A26" s="19" t="n">
        <v>46370</v>
      </c>
      <c r="B26" s="20" t="s">
        <v>93</v>
      </c>
      <c r="C26" s="21" t="str">
        <f aca="false">INDEX(Instellingen!$A$30:$A$35,MATCH(A26,Instellingen!$B$30:$B$35,1))</f>
        <v>F3 Vriendenweek en eindsprint</v>
      </c>
      <c r="D26" s="21" t="s">
        <v>140</v>
      </c>
      <c r="E26" s="21" t="s">
        <v>141</v>
      </c>
      <c r="F26" s="10" t="n">
        <f aca="false">SUMPRODUCT((A26&gt;=Instellingen!$D$30:$D$35)*(A26&lt;=Instellingen!$E$30:$E$35)*Instellingen!$P$30:$P$35)</f>
        <v>9.1</v>
      </c>
      <c r="G26" s="10" t="n">
        <f aca="false">SUMPRODUCT((A26&gt;=Instellingen!$F$30:$F$35)*(A26&lt;=Instellingen!$G$30:$G$35)*Instellingen!$Q$30:$Q$35)</f>
        <v>8.16666666666667</v>
      </c>
      <c r="H26" s="10" t="n">
        <f aca="false">SUMPRODUCT((A26&gt;=Instellingen!$H$30:$H$35)*(A26&lt;=Instellingen!$I$30:$I$35)*Instellingen!$R$30:$R$35)</f>
        <v>0</v>
      </c>
      <c r="I26" s="22" t="n">
        <f aca="false">SUM(F26:H26)</f>
        <v>17.2666666666667</v>
      </c>
      <c r="J26" s="10" t="n">
        <f aca="false">SUM($I$5:I26)</f>
        <v>206.666666666667</v>
      </c>
      <c r="K26" s="15" t="n">
        <f aca="false">IF(Instellingen!$B$4=0,0,J26/Instellingen!$B$4)</f>
        <v>0.516666666666667</v>
      </c>
      <c r="L26" s="23" t="s">
        <v>96</v>
      </c>
      <c r="M26" s="5" t="s">
        <v>142</v>
      </c>
    </row>
    <row r="27" customFormat="false" ht="42" hidden="false" customHeight="true" outlineLevel="0" collapsed="false">
      <c r="A27" s="19" t="n">
        <v>46371</v>
      </c>
      <c r="B27" s="20" t="s">
        <v>98</v>
      </c>
      <c r="C27" s="21" t="str">
        <f aca="false">INDEX(Instellingen!$A$30:$A$35,MATCH(A27,Instellingen!$B$30:$B$35,1))</f>
        <v>F3 Vriendenweek en eindsprint</v>
      </c>
      <c r="D27" s="21" t="s">
        <v>143</v>
      </c>
      <c r="E27" s="21" t="s">
        <v>144</v>
      </c>
      <c r="F27" s="10" t="n">
        <f aca="false">SUMPRODUCT((A27&gt;=Instellingen!$D$30:$D$35)*(A27&lt;=Instellingen!$E$30:$E$35)*Instellingen!$P$30:$P$35)</f>
        <v>9.1</v>
      </c>
      <c r="G27" s="10" t="n">
        <f aca="false">SUMPRODUCT((A27&gt;=Instellingen!$F$30:$F$35)*(A27&lt;=Instellingen!$G$30:$G$35)*Instellingen!$Q$30:$Q$35)</f>
        <v>8.16666666666667</v>
      </c>
      <c r="H27" s="10" t="n">
        <f aca="false">SUMPRODUCT((A27&gt;=Instellingen!$H$30:$H$35)*(A27&lt;=Instellingen!$I$30:$I$35)*Instellingen!$R$30:$R$35)</f>
        <v>0</v>
      </c>
      <c r="I27" s="22" t="n">
        <f aca="false">SUM(F27:H27)</f>
        <v>17.2666666666667</v>
      </c>
      <c r="J27" s="10" t="n">
        <f aca="false">SUM($I$5:I27)</f>
        <v>223.933333333333</v>
      </c>
      <c r="K27" s="15" t="n">
        <f aca="false">IF(Instellingen!$B$4=0,0,J27/Instellingen!$B$4)</f>
        <v>0.559833333333333</v>
      </c>
      <c r="L27" s="23"/>
      <c r="M27" s="21"/>
    </row>
    <row r="28" customFormat="false" ht="42" hidden="false" customHeight="true" outlineLevel="0" collapsed="false">
      <c r="A28" s="19" t="n">
        <v>46372</v>
      </c>
      <c r="B28" s="20" t="s">
        <v>101</v>
      </c>
      <c r="C28" s="21" t="str">
        <f aca="false">INDEX(Instellingen!$A$30:$A$35,MATCH(A28,Instellingen!$B$30:$B$35,1))</f>
        <v>F3 Vriendenweek en eindsprint</v>
      </c>
      <c r="D28" s="21" t="s">
        <v>145</v>
      </c>
      <c r="E28" s="21" t="s">
        <v>146</v>
      </c>
      <c r="F28" s="10" t="n">
        <f aca="false">SUMPRODUCT((A28&gt;=Instellingen!$D$30:$D$35)*(A28&lt;=Instellingen!$E$30:$E$35)*Instellingen!$P$30:$P$35)</f>
        <v>9.1</v>
      </c>
      <c r="G28" s="10" t="n">
        <f aca="false">SUMPRODUCT((A28&gt;=Instellingen!$F$30:$F$35)*(A28&lt;=Instellingen!$G$30:$G$35)*Instellingen!$Q$30:$Q$35)</f>
        <v>8.16666666666667</v>
      </c>
      <c r="H28" s="10" t="n">
        <f aca="false">SUMPRODUCT((A28&gt;=Instellingen!$H$30:$H$35)*(A28&lt;=Instellingen!$I$30:$I$35)*Instellingen!$R$30:$R$35)</f>
        <v>0</v>
      </c>
      <c r="I28" s="22" t="n">
        <f aca="false">SUM(F28:H28)</f>
        <v>17.2666666666667</v>
      </c>
      <c r="J28" s="10" t="n">
        <f aca="false">SUM($I$5:I28)</f>
        <v>241.2</v>
      </c>
      <c r="K28" s="15" t="n">
        <f aca="false">IF(Instellingen!$B$4=0,0,J28/Instellingen!$B$4)</f>
        <v>0.603</v>
      </c>
      <c r="L28" s="23" t="s">
        <v>103</v>
      </c>
      <c r="M28" s="21"/>
    </row>
    <row r="29" customFormat="false" ht="27.75" hidden="false" customHeight="true" outlineLevel="0" collapsed="false">
      <c r="A29" s="19" t="n">
        <v>46373</v>
      </c>
      <c r="B29" s="20" t="s">
        <v>104</v>
      </c>
      <c r="C29" s="21" t="str">
        <f aca="false">INDEX(Instellingen!$A$30:$A$35,MATCH(A29,Instellingen!$B$30:$B$35,1))</f>
        <v>F3 Vriendenweek en eindsprint</v>
      </c>
      <c r="D29" s="21" t="s">
        <v>123</v>
      </c>
      <c r="E29" s="21" t="s">
        <v>99</v>
      </c>
      <c r="F29" s="10" t="n">
        <f aca="false">SUMPRODUCT((A29&gt;=Instellingen!$D$30:$D$35)*(A29&lt;=Instellingen!$E$30:$E$35)*Instellingen!$P$30:$P$35)</f>
        <v>9.1</v>
      </c>
      <c r="G29" s="10" t="n">
        <f aca="false">SUMPRODUCT((A29&gt;=Instellingen!$F$30:$F$35)*(A29&lt;=Instellingen!$G$30:$G$35)*Instellingen!$Q$30:$Q$35)</f>
        <v>8.16666666666667</v>
      </c>
      <c r="H29" s="10" t="n">
        <f aca="false">SUMPRODUCT((A29&gt;=Instellingen!$H$30:$H$35)*(A29&lt;=Instellingen!$I$30:$I$35)*Instellingen!$R$30:$R$35)</f>
        <v>0</v>
      </c>
      <c r="I29" s="22" t="n">
        <f aca="false">SUM(F29:H29)</f>
        <v>17.2666666666667</v>
      </c>
      <c r="J29" s="10" t="n">
        <f aca="false">SUM($I$5:I29)</f>
        <v>258.466666666667</v>
      </c>
      <c r="K29" s="15" t="n">
        <f aca="false">IF(Instellingen!$B$4=0,0,J29/Instellingen!$B$4)</f>
        <v>0.646166666666667</v>
      </c>
      <c r="L29" s="23"/>
      <c r="M29" s="21"/>
    </row>
    <row r="30" customFormat="false" ht="42" hidden="false" customHeight="true" outlineLevel="0" collapsed="false">
      <c r="A30" s="19" t="n">
        <v>46374</v>
      </c>
      <c r="B30" s="20" t="s">
        <v>106</v>
      </c>
      <c r="C30" s="21" t="str">
        <f aca="false">INDEX(Instellingen!$A$30:$A$35,MATCH(A30,Instellingen!$B$30:$B$35,1))</f>
        <v>F3 Vriendenweek en eindsprint</v>
      </c>
      <c r="D30" s="21" t="s">
        <v>147</v>
      </c>
      <c r="E30" s="21" t="s">
        <v>148</v>
      </c>
      <c r="F30" s="10" t="n">
        <f aca="false">SUMPRODUCT((A30&gt;=Instellingen!$D$30:$D$35)*(A30&lt;=Instellingen!$E$30:$E$35)*Instellingen!$P$30:$P$35)</f>
        <v>9.1</v>
      </c>
      <c r="G30" s="10" t="n">
        <f aca="false">SUMPRODUCT((A30&gt;=Instellingen!$F$30:$F$35)*(A30&lt;=Instellingen!$G$30:$G$35)*Instellingen!$Q$30:$Q$35)</f>
        <v>8.16666666666667</v>
      </c>
      <c r="H30" s="10" t="n">
        <f aca="false">SUMPRODUCT((A30&gt;=Instellingen!$H$30:$H$35)*(A30&lt;=Instellingen!$I$30:$I$35)*Instellingen!$R$30:$R$35)</f>
        <v>0</v>
      </c>
      <c r="I30" s="22" t="n">
        <f aca="false">SUM(F30:H30)</f>
        <v>17.2666666666667</v>
      </c>
      <c r="J30" s="10" t="n">
        <f aca="false">SUM($I$5:I30)</f>
        <v>275.733333333333</v>
      </c>
      <c r="K30" s="15" t="n">
        <f aca="false">IF(Instellingen!$B$4=0,0,J30/Instellingen!$B$4)</f>
        <v>0.689333333333333</v>
      </c>
      <c r="L30" s="23" t="s">
        <v>108</v>
      </c>
      <c r="M30" s="21"/>
    </row>
    <row r="31" customFormat="false" ht="27.75" hidden="false" customHeight="true" outlineLevel="0" collapsed="false">
      <c r="A31" s="25" t="n">
        <v>46375</v>
      </c>
      <c r="B31" s="26" t="s">
        <v>110</v>
      </c>
      <c r="C31" s="27" t="str">
        <f aca="false">INDEX(Instellingen!$A$30:$A$35,MATCH(A31,Instellingen!$B$30:$B$35,1))</f>
        <v>F3 Vriendenweek en eindsprint</v>
      </c>
      <c r="D31" s="27" t="s">
        <v>123</v>
      </c>
      <c r="E31" s="27" t="s">
        <v>149</v>
      </c>
      <c r="F31" s="28" t="n">
        <f aca="false">SUMPRODUCT((A31&gt;=Instellingen!$D$30:$D$35)*(A31&lt;=Instellingen!$E$30:$E$35)*Instellingen!$P$30:$P$35)</f>
        <v>9.1</v>
      </c>
      <c r="G31" s="28" t="n">
        <f aca="false">SUMPRODUCT((A31&gt;=Instellingen!$F$30:$F$35)*(A31&lt;=Instellingen!$G$30:$G$35)*Instellingen!$Q$30:$Q$35)</f>
        <v>8.16666666666667</v>
      </c>
      <c r="H31" s="28" t="n">
        <f aca="false">SUMPRODUCT((A31&gt;=Instellingen!$H$30:$H$35)*(A31&lt;=Instellingen!$I$30:$I$35)*Instellingen!$R$30:$R$35)</f>
        <v>0</v>
      </c>
      <c r="I31" s="29" t="n">
        <f aca="false">SUM(F31:H31)</f>
        <v>17.2666666666667</v>
      </c>
      <c r="J31" s="28" t="n">
        <f aca="false">SUM($I$5:I31)</f>
        <v>293</v>
      </c>
      <c r="K31" s="30" t="n">
        <f aca="false">IF(Instellingen!$B$4=0,0,J31/Instellingen!$B$4)</f>
        <v>0.7325</v>
      </c>
      <c r="L31" s="31"/>
      <c r="M31" s="24" t="s">
        <v>150</v>
      </c>
    </row>
    <row r="32" customFormat="false" ht="42" hidden="false" customHeight="true" outlineLevel="0" collapsed="false">
      <c r="A32" s="25" t="n">
        <v>46376</v>
      </c>
      <c r="B32" s="26" t="s">
        <v>113</v>
      </c>
      <c r="C32" s="27" t="str">
        <f aca="false">INDEX(Instellingen!$A$30:$A$35,MATCH(A32,Instellingen!$B$30:$B$35,1))</f>
        <v>F4 Kerst (na het doel van 19 dec)</v>
      </c>
      <c r="D32" s="27" t="s">
        <v>123</v>
      </c>
      <c r="E32" s="27" t="s">
        <v>151</v>
      </c>
      <c r="F32" s="28" t="n">
        <f aca="false">SUMPRODUCT((A32&gt;=Instellingen!$D$30:$D$35)*(A32&lt;=Instellingen!$E$30:$E$35)*Instellingen!$P$30:$P$35)</f>
        <v>3.46666666666667</v>
      </c>
      <c r="G32" s="28" t="n">
        <f aca="false">SUMPRODUCT((A32&gt;=Instellingen!$F$30:$F$35)*(A32&lt;=Instellingen!$G$30:$G$35)*Instellingen!$Q$30:$Q$35)</f>
        <v>3.5</v>
      </c>
      <c r="H32" s="28" t="n">
        <f aca="false">SUMPRODUCT((A32&gt;=Instellingen!$H$30:$H$35)*(A32&lt;=Instellingen!$I$30:$I$35)*Instellingen!$R$30:$R$35)</f>
        <v>0</v>
      </c>
      <c r="I32" s="29" t="n">
        <f aca="false">SUM(F32:H32)</f>
        <v>6.96666666666667</v>
      </c>
      <c r="J32" s="28" t="n">
        <f aca="false">SUM($I$5:I32)</f>
        <v>299.966666666667</v>
      </c>
      <c r="K32" s="30" t="n">
        <f aca="false">IF(Instellingen!$B$4=0,0,J32/Instellingen!$B$4)</f>
        <v>0.749916666666667</v>
      </c>
      <c r="L32" s="31"/>
      <c r="M32" s="27"/>
    </row>
    <row r="33" customFormat="false" ht="42" hidden="false" customHeight="true" outlineLevel="0" collapsed="false">
      <c r="A33" s="19" t="n">
        <v>46377</v>
      </c>
      <c r="B33" s="20" t="s">
        <v>93</v>
      </c>
      <c r="C33" s="21" t="str">
        <f aca="false">INDEX(Instellingen!$A$30:$A$35,MATCH(A33,Instellingen!$B$30:$B$35,1))</f>
        <v>F4 Kerst (na het doel van 19 dec)</v>
      </c>
      <c r="D33" s="21" t="s">
        <v>123</v>
      </c>
      <c r="E33" s="21" t="s">
        <v>152</v>
      </c>
      <c r="F33" s="10" t="n">
        <f aca="false">SUMPRODUCT((A33&gt;=Instellingen!$D$30:$D$35)*(A33&lt;=Instellingen!$E$30:$E$35)*Instellingen!$P$30:$P$35)</f>
        <v>3.46666666666667</v>
      </c>
      <c r="G33" s="10" t="n">
        <f aca="false">SUMPRODUCT((A33&gt;=Instellingen!$F$30:$F$35)*(A33&lt;=Instellingen!$G$30:$G$35)*Instellingen!$Q$30:$Q$35)</f>
        <v>3.5</v>
      </c>
      <c r="H33" s="10" t="n">
        <f aca="false">SUMPRODUCT((A33&gt;=Instellingen!$H$30:$H$35)*(A33&lt;=Instellingen!$I$30:$I$35)*Instellingen!$R$30:$R$35)</f>
        <v>0</v>
      </c>
      <c r="I33" s="22" t="n">
        <f aca="false">SUM(F33:H33)</f>
        <v>6.96666666666667</v>
      </c>
      <c r="J33" s="10" t="n">
        <f aca="false">SUM($I$5:I33)</f>
        <v>306.933333333333</v>
      </c>
      <c r="K33" s="15" t="n">
        <f aca="false">IF(Instellingen!$B$4=0,0,J33/Instellingen!$B$4)</f>
        <v>0.767333333333333</v>
      </c>
      <c r="L33" s="23" t="s">
        <v>96</v>
      </c>
      <c r="M33" s="24" t="s">
        <v>153</v>
      </c>
    </row>
    <row r="34" customFormat="false" ht="27.75" hidden="false" customHeight="true" outlineLevel="0" collapsed="false">
      <c r="A34" s="19" t="n">
        <v>46378</v>
      </c>
      <c r="B34" s="20" t="s">
        <v>98</v>
      </c>
      <c r="C34" s="21" t="str">
        <f aca="false">INDEX(Instellingen!$A$30:$A$35,MATCH(A34,Instellingen!$B$30:$B$35,1))</f>
        <v>F4 Kerst (na het doel van 19 dec)</v>
      </c>
      <c r="D34" s="21" t="s">
        <v>123</v>
      </c>
      <c r="E34" s="21" t="s">
        <v>154</v>
      </c>
      <c r="F34" s="10" t="n">
        <f aca="false">SUMPRODUCT((A34&gt;=Instellingen!$D$30:$D$35)*(A34&lt;=Instellingen!$E$30:$E$35)*Instellingen!$P$30:$P$35)</f>
        <v>3.46666666666667</v>
      </c>
      <c r="G34" s="10" t="n">
        <f aca="false">SUMPRODUCT((A34&gt;=Instellingen!$F$30:$F$35)*(A34&lt;=Instellingen!$G$30:$G$35)*Instellingen!$Q$30:$Q$35)</f>
        <v>3.5</v>
      </c>
      <c r="H34" s="10" t="n">
        <f aca="false">SUMPRODUCT((A34&gt;=Instellingen!$H$30:$H$35)*(A34&lt;=Instellingen!$I$30:$I$35)*Instellingen!$R$30:$R$35)</f>
        <v>0</v>
      </c>
      <c r="I34" s="22" t="n">
        <f aca="false">SUM(F34:H34)</f>
        <v>6.96666666666667</v>
      </c>
      <c r="J34" s="10" t="n">
        <f aca="false">SUM($I$5:I34)</f>
        <v>313.9</v>
      </c>
      <c r="K34" s="15" t="n">
        <f aca="false">IF(Instellingen!$B$4=0,0,J34/Instellingen!$B$4)</f>
        <v>0.78475</v>
      </c>
      <c r="L34" s="23"/>
      <c r="M34" s="21"/>
    </row>
    <row r="35" customFormat="false" ht="42" hidden="false" customHeight="true" outlineLevel="0" collapsed="false">
      <c r="A35" s="19" t="n">
        <v>46379</v>
      </c>
      <c r="B35" s="20" t="s">
        <v>101</v>
      </c>
      <c r="C35" s="21" t="str">
        <f aca="false">INDEX(Instellingen!$A$30:$A$35,MATCH(A35,Instellingen!$B$30:$B$35,1))</f>
        <v>F4 Kerst (na het doel van 19 dec)</v>
      </c>
      <c r="D35" s="21" t="s">
        <v>155</v>
      </c>
      <c r="E35" s="21" t="s">
        <v>156</v>
      </c>
      <c r="F35" s="10" t="n">
        <f aca="false">SUMPRODUCT((A35&gt;=Instellingen!$D$30:$D$35)*(A35&lt;=Instellingen!$E$30:$E$35)*Instellingen!$P$30:$P$35)</f>
        <v>0</v>
      </c>
      <c r="G35" s="10" t="n">
        <f aca="false">SUMPRODUCT((A35&gt;=Instellingen!$F$30:$F$35)*(A35&lt;=Instellingen!$G$30:$G$35)*Instellingen!$Q$30:$Q$35)</f>
        <v>3.5</v>
      </c>
      <c r="H35" s="10" t="n">
        <f aca="false">SUMPRODUCT((A35&gt;=Instellingen!$H$30:$H$35)*(A35&lt;=Instellingen!$I$30:$I$35)*Instellingen!$R$30:$R$35)</f>
        <v>0</v>
      </c>
      <c r="I35" s="22" t="n">
        <f aca="false">SUM(F35:H35)</f>
        <v>3.5</v>
      </c>
      <c r="J35" s="10" t="n">
        <f aca="false">SUM($I$5:I35)</f>
        <v>317.4</v>
      </c>
      <c r="K35" s="15" t="n">
        <f aca="false">IF(Instellingen!$B$4=0,0,J35/Instellingen!$B$4)</f>
        <v>0.7935</v>
      </c>
      <c r="L35" s="23" t="s">
        <v>103</v>
      </c>
      <c r="M35" s="21"/>
    </row>
    <row r="36" customFormat="false" ht="27.75" hidden="false" customHeight="true" outlineLevel="0" collapsed="false">
      <c r="A36" s="19" t="n">
        <v>46380</v>
      </c>
      <c r="B36" s="20" t="s">
        <v>104</v>
      </c>
      <c r="C36" s="21" t="str">
        <f aca="false">INDEX(Instellingen!$A$30:$A$35,MATCH(A36,Instellingen!$B$30:$B$35,1))</f>
        <v>F4 Kerst (na het doel van 19 dec)</v>
      </c>
      <c r="D36" s="21" t="s">
        <v>157</v>
      </c>
      <c r="E36" s="21" t="s">
        <v>158</v>
      </c>
      <c r="F36" s="10" t="n">
        <f aca="false">SUMPRODUCT((A36&gt;=Instellingen!$D$30:$D$35)*(A36&lt;=Instellingen!$E$30:$E$35)*Instellingen!$P$30:$P$35)</f>
        <v>0</v>
      </c>
      <c r="G36" s="10" t="n">
        <f aca="false">SUMPRODUCT((A36&gt;=Instellingen!$F$30:$F$35)*(A36&lt;=Instellingen!$G$30:$G$35)*Instellingen!$Q$30:$Q$35)</f>
        <v>3.5</v>
      </c>
      <c r="H36" s="10" t="n">
        <f aca="false">SUMPRODUCT((A36&gt;=Instellingen!$H$30:$H$35)*(A36&lt;=Instellingen!$I$30:$I$35)*Instellingen!$R$30:$R$35)</f>
        <v>0</v>
      </c>
      <c r="I36" s="22" t="n">
        <f aca="false">SUM(F36:H36)</f>
        <v>3.5</v>
      </c>
      <c r="J36" s="10" t="n">
        <f aca="false">SUM($I$5:I36)</f>
        <v>320.9</v>
      </c>
      <c r="K36" s="15" t="n">
        <f aca="false">IF(Instellingen!$B$4=0,0,J36/Instellingen!$B$4)</f>
        <v>0.80225</v>
      </c>
      <c r="L36" s="23" t="s">
        <v>108</v>
      </c>
      <c r="M36" s="5" t="s">
        <v>159</v>
      </c>
    </row>
    <row r="37" customFormat="false" ht="27.75" hidden="false" customHeight="true" outlineLevel="0" collapsed="false">
      <c r="A37" s="19" t="n">
        <v>46381</v>
      </c>
      <c r="B37" s="20" t="s">
        <v>106</v>
      </c>
      <c r="C37" s="21" t="str">
        <f aca="false">INDEX(Instellingen!$A$30:$A$35,MATCH(A37,Instellingen!$B$30:$B$35,1))</f>
        <v>F4 Kerst (na het doel van 19 dec)</v>
      </c>
      <c r="D37" s="21" t="s">
        <v>99</v>
      </c>
      <c r="E37" s="21" t="s">
        <v>160</v>
      </c>
      <c r="F37" s="10" t="n">
        <f aca="false">SUMPRODUCT((A37&gt;=Instellingen!$D$30:$D$35)*(A37&lt;=Instellingen!$E$30:$E$35)*Instellingen!$P$30:$P$35)</f>
        <v>0</v>
      </c>
      <c r="G37" s="10" t="n">
        <f aca="false">SUMPRODUCT((A37&gt;=Instellingen!$F$30:$F$35)*(A37&lt;=Instellingen!$G$30:$G$35)*Instellingen!$Q$30:$Q$35)</f>
        <v>3.5</v>
      </c>
      <c r="H37" s="10" t="n">
        <f aca="false">SUMPRODUCT((A37&gt;=Instellingen!$H$30:$H$35)*(A37&lt;=Instellingen!$I$30:$I$35)*Instellingen!$R$30:$R$35)</f>
        <v>0</v>
      </c>
      <c r="I37" s="22" t="n">
        <f aca="false">SUM(F37:H37)</f>
        <v>3.5</v>
      </c>
      <c r="J37" s="10" t="n">
        <f aca="false">SUM($I$5:I37)</f>
        <v>324.4</v>
      </c>
      <c r="K37" s="15" t="n">
        <f aca="false">IF(Instellingen!$B$4=0,0,J37/Instellingen!$B$4)</f>
        <v>0.811</v>
      </c>
      <c r="L37" s="23"/>
      <c r="M37" s="5" t="s">
        <v>161</v>
      </c>
    </row>
    <row r="38" customFormat="false" ht="27.75" hidden="false" customHeight="true" outlineLevel="0" collapsed="false">
      <c r="A38" s="25" t="n">
        <v>46382</v>
      </c>
      <c r="B38" s="26" t="s">
        <v>110</v>
      </c>
      <c r="C38" s="27" t="str">
        <f aca="false">INDEX(Instellingen!$A$30:$A$35,MATCH(A38,Instellingen!$B$30:$B$35,1))</f>
        <v>F5 Januari klaarzetten</v>
      </c>
      <c r="D38" s="27" t="s">
        <v>162</v>
      </c>
      <c r="E38" s="27" t="s">
        <v>163</v>
      </c>
      <c r="F38" s="28" t="n">
        <f aca="false">SUMPRODUCT((A38&gt;=Instellingen!$D$30:$D$35)*(A38&lt;=Instellingen!$E$30:$E$35)*Instellingen!$P$30:$P$35)</f>
        <v>5.46</v>
      </c>
      <c r="G38" s="28" t="n">
        <f aca="false">SUMPRODUCT((A38&gt;=Instellingen!$F$30:$F$35)*(A38&lt;=Instellingen!$G$30:$G$35)*Instellingen!$Q$30:$Q$35)</f>
        <v>2.1</v>
      </c>
      <c r="H38" s="28" t="n">
        <f aca="false">SUMPRODUCT((A38&gt;=Instellingen!$H$30:$H$35)*(A38&lt;=Instellingen!$I$30:$I$35)*Instellingen!$R$30:$R$35)</f>
        <v>0</v>
      </c>
      <c r="I38" s="29" t="n">
        <f aca="false">SUM(F38:H38)</f>
        <v>7.56</v>
      </c>
      <c r="J38" s="28" t="n">
        <f aca="false">SUM($I$5:I38)</f>
        <v>331.96</v>
      </c>
      <c r="K38" s="30" t="n">
        <f aca="false">IF(Instellingen!$B$4=0,0,J38/Instellingen!$B$4)</f>
        <v>0.8299</v>
      </c>
      <c r="L38" s="31"/>
      <c r="M38" s="27"/>
    </row>
    <row r="39" customFormat="false" ht="27.75" hidden="false" customHeight="true" outlineLevel="0" collapsed="false">
      <c r="A39" s="25" t="n">
        <v>46383</v>
      </c>
      <c r="B39" s="26" t="s">
        <v>113</v>
      </c>
      <c r="C39" s="27" t="str">
        <f aca="false">INDEX(Instellingen!$A$30:$A$35,MATCH(A39,Instellingen!$B$30:$B$35,1))</f>
        <v>F5 Januari klaarzetten</v>
      </c>
      <c r="D39" s="27" t="s">
        <v>99</v>
      </c>
      <c r="E39" s="27" t="s">
        <v>99</v>
      </c>
      <c r="F39" s="28" t="n">
        <f aca="false">SUMPRODUCT((A39&gt;=Instellingen!$D$30:$D$35)*(A39&lt;=Instellingen!$E$30:$E$35)*Instellingen!$P$30:$P$35)</f>
        <v>5.46</v>
      </c>
      <c r="G39" s="28" t="n">
        <f aca="false">SUMPRODUCT((A39&gt;=Instellingen!$F$30:$F$35)*(A39&lt;=Instellingen!$G$30:$G$35)*Instellingen!$Q$30:$Q$35)</f>
        <v>2.1</v>
      </c>
      <c r="H39" s="28" t="n">
        <f aca="false">SUMPRODUCT((A39&gt;=Instellingen!$H$30:$H$35)*(A39&lt;=Instellingen!$I$30:$I$35)*Instellingen!$R$30:$R$35)</f>
        <v>0</v>
      </c>
      <c r="I39" s="29" t="n">
        <f aca="false">SUM(F39:H39)</f>
        <v>7.56</v>
      </c>
      <c r="J39" s="28" t="n">
        <f aca="false">SUM($I$5:I39)</f>
        <v>339.52</v>
      </c>
      <c r="K39" s="30" t="n">
        <f aca="false">IF(Instellingen!$B$4=0,0,J39/Instellingen!$B$4)</f>
        <v>0.8488</v>
      </c>
      <c r="L39" s="31"/>
      <c r="M39" s="27"/>
    </row>
    <row r="40" customFormat="false" ht="27.75" hidden="false" customHeight="true" outlineLevel="0" collapsed="false">
      <c r="A40" s="19" t="n">
        <v>46384</v>
      </c>
      <c r="B40" s="20" t="s">
        <v>93</v>
      </c>
      <c r="C40" s="21" t="str">
        <f aca="false">INDEX(Instellingen!$A$30:$A$35,MATCH(A40,Instellingen!$B$30:$B$35,1))</f>
        <v>F5 Januari klaarzetten</v>
      </c>
      <c r="D40" s="21" t="s">
        <v>164</v>
      </c>
      <c r="E40" s="21" t="s">
        <v>165</v>
      </c>
      <c r="F40" s="10" t="n">
        <f aca="false">SUMPRODUCT((A40&gt;=Instellingen!$D$30:$D$35)*(A40&lt;=Instellingen!$E$30:$E$35)*Instellingen!$P$30:$P$35)</f>
        <v>5.46</v>
      </c>
      <c r="G40" s="10" t="n">
        <f aca="false">SUMPRODUCT((A40&gt;=Instellingen!$F$30:$F$35)*(A40&lt;=Instellingen!$G$30:$G$35)*Instellingen!$Q$30:$Q$35)</f>
        <v>2.1</v>
      </c>
      <c r="H40" s="10" t="n">
        <f aca="false">SUMPRODUCT((A40&gt;=Instellingen!$H$30:$H$35)*(A40&lt;=Instellingen!$I$30:$I$35)*Instellingen!$R$30:$R$35)</f>
        <v>0</v>
      </c>
      <c r="I40" s="22" t="n">
        <f aca="false">SUM(F40:H40)</f>
        <v>7.56</v>
      </c>
      <c r="J40" s="10" t="n">
        <f aca="false">SUM($I$5:I40)</f>
        <v>347.08</v>
      </c>
      <c r="K40" s="15" t="n">
        <f aca="false">IF(Instellingen!$B$4=0,0,J40/Instellingen!$B$4)</f>
        <v>0.8677</v>
      </c>
      <c r="L40" s="23" t="s">
        <v>96</v>
      </c>
      <c r="M40" s="21"/>
    </row>
    <row r="41" customFormat="false" ht="27.75" hidden="false" customHeight="true" outlineLevel="0" collapsed="false">
      <c r="A41" s="19" t="n">
        <v>46385</v>
      </c>
      <c r="B41" s="20" t="s">
        <v>98</v>
      </c>
      <c r="C41" s="21" t="str">
        <f aca="false">INDEX(Instellingen!$A$30:$A$35,MATCH(A41,Instellingen!$B$30:$B$35,1))</f>
        <v>F5 Januari klaarzetten</v>
      </c>
      <c r="D41" s="21" t="s">
        <v>99</v>
      </c>
      <c r="E41" s="21" t="s">
        <v>99</v>
      </c>
      <c r="F41" s="10" t="n">
        <f aca="false">SUMPRODUCT((A41&gt;=Instellingen!$D$30:$D$35)*(A41&lt;=Instellingen!$E$30:$E$35)*Instellingen!$P$30:$P$35)</f>
        <v>5.46</v>
      </c>
      <c r="G41" s="10" t="n">
        <f aca="false">SUMPRODUCT((A41&gt;=Instellingen!$F$30:$F$35)*(A41&lt;=Instellingen!$G$30:$G$35)*Instellingen!$Q$30:$Q$35)</f>
        <v>2.1</v>
      </c>
      <c r="H41" s="10" t="n">
        <f aca="false">SUMPRODUCT((A41&gt;=Instellingen!$H$30:$H$35)*(A41&lt;=Instellingen!$I$30:$I$35)*Instellingen!$R$30:$R$35)</f>
        <v>0</v>
      </c>
      <c r="I41" s="22" t="n">
        <f aca="false">SUM(F41:H41)</f>
        <v>7.56</v>
      </c>
      <c r="J41" s="10" t="n">
        <f aca="false">SUM($I$5:I41)</f>
        <v>354.64</v>
      </c>
      <c r="K41" s="15" t="n">
        <f aca="false">IF(Instellingen!$B$4=0,0,J41/Instellingen!$B$4)</f>
        <v>0.8866</v>
      </c>
      <c r="L41" s="23"/>
      <c r="M41" s="21"/>
    </row>
    <row r="42" customFormat="false" ht="42" hidden="false" customHeight="true" outlineLevel="0" collapsed="false">
      <c r="A42" s="19" t="n">
        <v>46386</v>
      </c>
      <c r="B42" s="20" t="s">
        <v>101</v>
      </c>
      <c r="C42" s="21" t="str">
        <f aca="false">INDEX(Instellingen!$A$30:$A$35,MATCH(A42,Instellingen!$B$30:$B$35,1))</f>
        <v>F5 Januari klaarzetten</v>
      </c>
      <c r="D42" s="21" t="s">
        <v>166</v>
      </c>
      <c r="E42" s="21" t="s">
        <v>167</v>
      </c>
      <c r="F42" s="10" t="n">
        <f aca="false">SUMPRODUCT((A42&gt;=Instellingen!$D$30:$D$35)*(A42&lt;=Instellingen!$E$30:$E$35)*Instellingen!$P$30:$P$35)</f>
        <v>5.46</v>
      </c>
      <c r="G42" s="10" t="n">
        <f aca="false">SUMPRODUCT((A42&gt;=Instellingen!$F$30:$F$35)*(A42&lt;=Instellingen!$G$30:$G$35)*Instellingen!$Q$30:$Q$35)</f>
        <v>2.1</v>
      </c>
      <c r="H42" s="10" t="n">
        <f aca="false">SUMPRODUCT((A42&gt;=Instellingen!$H$30:$H$35)*(A42&lt;=Instellingen!$I$30:$I$35)*Instellingen!$R$30:$R$35)</f>
        <v>0</v>
      </c>
      <c r="I42" s="22" t="n">
        <f aca="false">SUM(F42:H42)</f>
        <v>7.56</v>
      </c>
      <c r="J42" s="10" t="n">
        <f aca="false">SUM($I$5:I42)</f>
        <v>362.2</v>
      </c>
      <c r="K42" s="15" t="n">
        <f aca="false">IF(Instellingen!$B$4=0,0,J42/Instellingen!$B$4)</f>
        <v>0.9055</v>
      </c>
      <c r="L42" s="23" t="s">
        <v>103</v>
      </c>
      <c r="M42" s="21"/>
    </row>
    <row r="43" customFormat="false" ht="27.75" hidden="false" customHeight="true" outlineLevel="0" collapsed="false">
      <c r="A43" s="19" t="n">
        <v>46387</v>
      </c>
      <c r="B43" s="20" t="s">
        <v>104</v>
      </c>
      <c r="C43" s="21" t="str">
        <f aca="false">INDEX(Instellingen!$A$30:$A$35,MATCH(A43,Instellingen!$B$30:$B$35,1))</f>
        <v>F5 Januari klaarzetten</v>
      </c>
      <c r="D43" s="21" t="s">
        <v>168</v>
      </c>
      <c r="E43" s="21" t="s">
        <v>169</v>
      </c>
      <c r="F43" s="10" t="n">
        <f aca="false">SUMPRODUCT((A43&gt;=Instellingen!$D$30:$D$35)*(A43&lt;=Instellingen!$E$30:$E$35)*Instellingen!$P$30:$P$35)</f>
        <v>5.46</v>
      </c>
      <c r="G43" s="10" t="n">
        <f aca="false">SUMPRODUCT((A43&gt;=Instellingen!$F$30:$F$35)*(A43&lt;=Instellingen!$G$30:$G$35)*Instellingen!$Q$30:$Q$35)</f>
        <v>2.1</v>
      </c>
      <c r="H43" s="10" t="n">
        <f aca="false">SUMPRODUCT((A43&gt;=Instellingen!$H$30:$H$35)*(A43&lt;=Instellingen!$I$30:$I$35)*Instellingen!$R$30:$R$35)</f>
        <v>0</v>
      </c>
      <c r="I43" s="22" t="n">
        <f aca="false">SUM(F43:H43)</f>
        <v>7.56</v>
      </c>
      <c r="J43" s="10" t="n">
        <f aca="false">SUM($I$5:I43)</f>
        <v>369.76</v>
      </c>
      <c r="K43" s="15" t="n">
        <f aca="false">IF(Instellingen!$B$4=0,0,J43/Instellingen!$B$4)</f>
        <v>0.9244</v>
      </c>
      <c r="L43" s="23" t="s">
        <v>108</v>
      </c>
      <c r="M43" s="5" t="s">
        <v>170</v>
      </c>
    </row>
    <row r="44" customFormat="false" ht="42" hidden="false" customHeight="true" outlineLevel="0" collapsed="false">
      <c r="A44" s="19" t="n">
        <v>46388</v>
      </c>
      <c r="B44" s="20" t="s">
        <v>106</v>
      </c>
      <c r="C44" s="21" t="str">
        <f aca="false">INDEX(Instellingen!$A$30:$A$35,MATCH(A44,Instellingen!$B$30:$B$35,1))</f>
        <v>F5 Januari klaarzetten</v>
      </c>
      <c r="D44" s="21" t="s">
        <v>171</v>
      </c>
      <c r="E44" s="21" t="s">
        <v>172</v>
      </c>
      <c r="F44" s="10" t="n">
        <f aca="false">SUMPRODUCT((A44&gt;=Instellingen!$D$30:$D$35)*(A44&lt;=Instellingen!$E$30:$E$35)*Instellingen!$P$30:$P$35)</f>
        <v>5.46</v>
      </c>
      <c r="G44" s="10" t="n">
        <f aca="false">SUMPRODUCT((A44&gt;=Instellingen!$F$30:$F$35)*(A44&lt;=Instellingen!$G$30:$G$35)*Instellingen!$Q$30:$Q$35)</f>
        <v>2.1</v>
      </c>
      <c r="H44" s="10" t="n">
        <f aca="false">SUMPRODUCT((A44&gt;=Instellingen!$H$30:$H$35)*(A44&lt;=Instellingen!$I$30:$I$35)*Instellingen!$R$30:$R$35)</f>
        <v>0</v>
      </c>
      <c r="I44" s="22" t="n">
        <f aca="false">SUM(F44:H44)</f>
        <v>7.56</v>
      </c>
      <c r="J44" s="10" t="n">
        <f aca="false">SUM($I$5:I44)</f>
        <v>377.32</v>
      </c>
      <c r="K44" s="15" t="n">
        <f aca="false">IF(Instellingen!$B$4=0,0,J44/Instellingen!$B$4)</f>
        <v>0.9433</v>
      </c>
      <c r="L44" s="23"/>
      <c r="M44" s="5" t="s">
        <v>173</v>
      </c>
    </row>
    <row r="45" customFormat="false" ht="27.75" hidden="false" customHeight="true" outlineLevel="0" collapsed="false">
      <c r="A45" s="25" t="n">
        <v>46389</v>
      </c>
      <c r="B45" s="26" t="s">
        <v>110</v>
      </c>
      <c r="C45" s="27" t="str">
        <f aca="false">INDEX(Instellingen!$A$30:$A$35,MATCH(A45,Instellingen!$B$30:$B$35,1))</f>
        <v>F5 Januari klaarzetten</v>
      </c>
      <c r="D45" s="27" t="s">
        <v>99</v>
      </c>
      <c r="E45" s="27" t="s">
        <v>174</v>
      </c>
      <c r="F45" s="28" t="n">
        <f aca="false">SUMPRODUCT((A45&gt;=Instellingen!$D$30:$D$35)*(A45&lt;=Instellingen!$E$30:$E$35)*Instellingen!$P$30:$P$35)</f>
        <v>5.46</v>
      </c>
      <c r="G45" s="28" t="n">
        <f aca="false">SUMPRODUCT((A45&gt;=Instellingen!$F$30:$F$35)*(A45&lt;=Instellingen!$G$30:$G$35)*Instellingen!$Q$30:$Q$35)</f>
        <v>2.1</v>
      </c>
      <c r="H45" s="28" t="n">
        <f aca="false">SUMPRODUCT((A45&gt;=Instellingen!$H$30:$H$35)*(A45&lt;=Instellingen!$I$30:$I$35)*Instellingen!$R$30:$R$35)</f>
        <v>0</v>
      </c>
      <c r="I45" s="29" t="n">
        <f aca="false">SUM(F45:H45)</f>
        <v>7.56</v>
      </c>
      <c r="J45" s="28" t="n">
        <f aca="false">SUM($I$5:I45)</f>
        <v>384.88</v>
      </c>
      <c r="K45" s="30" t="n">
        <f aca="false">IF(Instellingen!$B$4=0,0,J45/Instellingen!$B$4)</f>
        <v>0.9622</v>
      </c>
      <c r="L45" s="31"/>
      <c r="M45" s="27"/>
    </row>
    <row r="46" customFormat="false" ht="27.75" hidden="false" customHeight="true" outlineLevel="0" collapsed="false">
      <c r="A46" s="25" t="n">
        <v>46390</v>
      </c>
      <c r="B46" s="26" t="s">
        <v>113</v>
      </c>
      <c r="C46" s="27" t="str">
        <f aca="false">INDEX(Instellingen!$A$30:$A$35,MATCH(A46,Instellingen!$B$30:$B$35,1))</f>
        <v>F5 Januari klaarzetten</v>
      </c>
      <c r="D46" s="27" t="s">
        <v>99</v>
      </c>
      <c r="E46" s="27" t="s">
        <v>99</v>
      </c>
      <c r="F46" s="28" t="n">
        <f aca="false">SUMPRODUCT((A46&gt;=Instellingen!$D$30:$D$35)*(A46&lt;=Instellingen!$E$30:$E$35)*Instellingen!$P$30:$P$35)</f>
        <v>5.46</v>
      </c>
      <c r="G46" s="28" t="n">
        <f aca="false">SUMPRODUCT((A46&gt;=Instellingen!$F$30:$F$35)*(A46&lt;=Instellingen!$G$30:$G$35)*Instellingen!$Q$30:$Q$35)</f>
        <v>2.1</v>
      </c>
      <c r="H46" s="28" t="n">
        <f aca="false">SUMPRODUCT((A46&gt;=Instellingen!$H$30:$H$35)*(A46&lt;=Instellingen!$I$30:$I$35)*Instellingen!$R$30:$R$35)</f>
        <v>0</v>
      </c>
      <c r="I46" s="29" t="n">
        <f aca="false">SUM(F46:H46)</f>
        <v>7.56</v>
      </c>
      <c r="J46" s="28" t="n">
        <f aca="false">SUM($I$5:I46)</f>
        <v>392.44</v>
      </c>
      <c r="K46" s="30" t="n">
        <f aca="false">IF(Instellingen!$B$4=0,0,J46/Instellingen!$B$4)</f>
        <v>0.9811</v>
      </c>
      <c r="L46" s="31"/>
      <c r="M46" s="27"/>
    </row>
    <row r="47" customFormat="false" ht="42" hidden="false" customHeight="true" outlineLevel="0" collapsed="false">
      <c r="A47" s="19" t="n">
        <v>46391</v>
      </c>
      <c r="B47" s="20" t="s">
        <v>93</v>
      </c>
      <c r="C47" s="21" t="str">
        <f aca="false">INDEX(Instellingen!$A$30:$A$35,MATCH(A47,Instellingen!$B$30:$B$35,1))</f>
        <v>F5 Januari klaarzetten</v>
      </c>
      <c r="D47" s="21" t="s">
        <v>99</v>
      </c>
      <c r="E47" s="21" t="s">
        <v>175</v>
      </c>
      <c r="F47" s="10" t="n">
        <f aca="false">SUMPRODUCT((A47&gt;=Instellingen!$D$30:$D$35)*(A47&lt;=Instellingen!$E$30:$E$35)*Instellingen!$P$30:$P$35)</f>
        <v>5.46</v>
      </c>
      <c r="G47" s="10" t="n">
        <f aca="false">SUMPRODUCT((A47&gt;=Instellingen!$F$30:$F$35)*(A47&lt;=Instellingen!$G$30:$G$35)*Instellingen!$Q$30:$Q$35)</f>
        <v>2.1</v>
      </c>
      <c r="H47" s="10" t="n">
        <f aca="false">SUMPRODUCT((A47&gt;=Instellingen!$H$30:$H$35)*(A47&lt;=Instellingen!$I$30:$I$35)*Instellingen!$R$30:$R$35)</f>
        <v>0</v>
      </c>
      <c r="I47" s="22" t="n">
        <f aca="false">SUM(F47:H47)</f>
        <v>7.56</v>
      </c>
      <c r="J47" s="10" t="n">
        <f aca="false">SUM($I$5:I47)</f>
        <v>400</v>
      </c>
      <c r="K47" s="15" t="n">
        <f aca="false">IF(Instellingen!$B$4=0,0,J47/Instellingen!$B$4)</f>
        <v>1</v>
      </c>
      <c r="L47" s="23" t="s">
        <v>96</v>
      </c>
      <c r="M47" s="5" t="s">
        <v>176</v>
      </c>
    </row>
    <row r="48" customFormat="false" ht="15" hidden="false" customHeight="false" outlineLevel="0" collapsed="false">
      <c r="E48" s="13" t="s">
        <v>177</v>
      </c>
      <c r="F48" s="22" t="n">
        <f aca="false">SUM(F5:F47)</f>
        <v>260</v>
      </c>
      <c r="G48" s="22" t="n">
        <f aca="false">SUM(G5:G47)</f>
        <v>140</v>
      </c>
      <c r="H48" s="22" t="n">
        <f aca="false">SUM(H5:H47)</f>
        <v>0</v>
      </c>
      <c r="I48" s="22" t="n">
        <f aca="false">SUM(I5:I47)</f>
        <v>400</v>
      </c>
      <c r="J48" s="13" t="str">
        <f aca="false">IF(ROUND(I48-Instellingen!B4,2)=0,"= pot","afwijking")</f>
        <v>= pot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7" min="6" style="0" width="10"/>
    <col collapsed="false" customWidth="true" hidden="false" outlineLevel="0" max="8" min="8" style="0" width="40"/>
    <col collapsed="false" customWidth="true" hidden="false" outlineLevel="0" max="9" min="9" style="0" width="62"/>
    <col collapsed="false" customWidth="true" hidden="false" outlineLevel="0" max="10" min="10" style="0" width="28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5" min="14" style="0" width="11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18" min="18" style="0" width="50"/>
  </cols>
  <sheetData>
    <row r="1" customFormat="false" ht="17.3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4" t="s">
        <v>179</v>
      </c>
    </row>
    <row r="4" customFormat="false" ht="31.5" hidden="false" customHeight="true" outlineLevel="0" collapsed="false">
      <c r="A4" s="17" t="s">
        <v>180</v>
      </c>
      <c r="B4" s="17" t="s">
        <v>181</v>
      </c>
      <c r="C4" s="17" t="s">
        <v>182</v>
      </c>
      <c r="D4" s="17" t="s">
        <v>183</v>
      </c>
      <c r="E4" s="17" t="s">
        <v>184</v>
      </c>
      <c r="F4" s="17" t="s">
        <v>56</v>
      </c>
      <c r="G4" s="17" t="s">
        <v>57</v>
      </c>
      <c r="H4" s="17" t="s">
        <v>185</v>
      </c>
      <c r="I4" s="17" t="s">
        <v>186</v>
      </c>
      <c r="J4" s="17" t="s">
        <v>187</v>
      </c>
      <c r="K4" s="17" t="s">
        <v>188</v>
      </c>
      <c r="L4" s="17" t="s">
        <v>189</v>
      </c>
      <c r="M4" s="17" t="s">
        <v>190</v>
      </c>
      <c r="N4" s="17" t="s">
        <v>191</v>
      </c>
      <c r="O4" s="17" t="s">
        <v>192</v>
      </c>
      <c r="P4" s="17" t="s">
        <v>193</v>
      </c>
      <c r="Q4" s="17" t="s">
        <v>194</v>
      </c>
      <c r="R4" s="17" t="s">
        <v>195</v>
      </c>
    </row>
    <row r="5" customFormat="false" ht="61.5" hidden="false" customHeight="true" outlineLevel="0" collapsed="false">
      <c r="A5" s="5" t="s">
        <v>196</v>
      </c>
      <c r="B5" s="23" t="n">
        <v>1</v>
      </c>
      <c r="C5" s="21" t="s">
        <v>50</v>
      </c>
      <c r="D5" s="21" t="s">
        <v>197</v>
      </c>
      <c r="E5" s="21" t="s">
        <v>198</v>
      </c>
      <c r="F5" s="18" t="n">
        <v>46356</v>
      </c>
      <c r="G5" s="18" t="n">
        <v>46362</v>
      </c>
      <c r="H5" s="21" t="s">
        <v>199</v>
      </c>
      <c r="I5" s="21" t="s">
        <v>200</v>
      </c>
      <c r="J5" s="21" t="s">
        <v>201</v>
      </c>
      <c r="K5" s="21" t="s">
        <v>202</v>
      </c>
      <c r="L5" s="11" t="s">
        <v>203</v>
      </c>
      <c r="M5" s="8"/>
      <c r="N5" s="32"/>
      <c r="O5" s="32"/>
      <c r="P5" s="32"/>
      <c r="Q5" s="10" t="str">
        <f aca="false">IF(O5=0,"-",M5/O5)</f>
        <v>-</v>
      </c>
      <c r="R5" s="21" t="str">
        <f aca="false">IF(M5="","Nog niet gestart",IF(M5&lt;3*Instellingen!$B$9,"WACHT: minder dan 3x doel uitgegeven",IF(O5=0,"VERVANG: nul starts bij 3x doel of meer",IF(M5/O5&lt;=Instellingen!$B$9,"HOUD: kandidaat-winnaar, maximaal +20 % per 5 dagen",IF(M5/O5&lt;=1.5*Instellingen!$B$9,"MONITOR: nog een week","VERVANG of 20 % terug: meer dan 1,5x doel")))))</f>
        <v>Nog niet gestart</v>
      </c>
    </row>
    <row r="6" customFormat="false" ht="61.5" hidden="false" customHeight="true" outlineLevel="0" collapsed="false">
      <c r="A6" s="5" t="s">
        <v>204</v>
      </c>
      <c r="B6" s="23" t="n">
        <v>2</v>
      </c>
      <c r="C6" s="21" t="s">
        <v>50</v>
      </c>
      <c r="D6" s="21" t="s">
        <v>205</v>
      </c>
      <c r="E6" s="21" t="s">
        <v>206</v>
      </c>
      <c r="F6" s="18" t="n">
        <v>46358</v>
      </c>
      <c r="G6" s="18" t="n">
        <v>46379</v>
      </c>
      <c r="H6" s="21" t="s">
        <v>207</v>
      </c>
      <c r="I6" s="21" t="s">
        <v>208</v>
      </c>
      <c r="J6" s="21" t="s">
        <v>209</v>
      </c>
      <c r="K6" s="21" t="s">
        <v>202</v>
      </c>
      <c r="L6" s="11" t="s">
        <v>203</v>
      </c>
      <c r="M6" s="8"/>
      <c r="N6" s="32"/>
      <c r="O6" s="32"/>
      <c r="P6" s="32"/>
      <c r="Q6" s="10" t="str">
        <f aca="false">IF(O6=0,"-",M6/O6)</f>
        <v>-</v>
      </c>
      <c r="R6" s="21" t="str">
        <f aca="false">IF(M6="","Nog niet gestart",IF(M6&lt;3*Instellingen!$B$9,"WACHT: minder dan 3x doel uitgegeven",IF(O6=0,"VERVANG: nul starts bij 3x doel of meer",IF(M6/O6&lt;=Instellingen!$B$9,"HOUD: kandidaat-winnaar, maximaal +20 % per 5 dagen",IF(M6/O6&lt;=1.5*Instellingen!$B$9,"MONITOR: nog een week","VERVANG of 20 % terug: meer dan 1,5x doel")))))</f>
        <v>Nog niet gestart</v>
      </c>
    </row>
    <row r="7" customFormat="false" ht="61.5" hidden="false" customHeight="true" outlineLevel="0" collapsed="false">
      <c r="A7" s="5" t="s">
        <v>210</v>
      </c>
      <c r="B7" s="23" t="n">
        <v>3</v>
      </c>
      <c r="C7" s="21" t="s">
        <v>50</v>
      </c>
      <c r="D7" s="21" t="s">
        <v>197</v>
      </c>
      <c r="E7" s="21" t="s">
        <v>211</v>
      </c>
      <c r="F7" s="18" t="n">
        <v>46358</v>
      </c>
      <c r="G7" s="18" t="n">
        <v>46361</v>
      </c>
      <c r="H7" s="21" t="s">
        <v>212</v>
      </c>
      <c r="I7" s="21" t="s">
        <v>213</v>
      </c>
      <c r="J7" s="21" t="s">
        <v>214</v>
      </c>
      <c r="K7" s="21" t="s">
        <v>202</v>
      </c>
      <c r="L7" s="11" t="s">
        <v>203</v>
      </c>
      <c r="M7" s="8"/>
      <c r="N7" s="32"/>
      <c r="O7" s="32"/>
      <c r="P7" s="32"/>
      <c r="Q7" s="10" t="str">
        <f aca="false">IF(O7=0,"-",M7/O7)</f>
        <v>-</v>
      </c>
      <c r="R7" s="21" t="str">
        <f aca="false">IF(M7="","Nog niet gestart",IF(M7&lt;3*Instellingen!$B$9,"WACHT: minder dan 3x doel uitgegeven",IF(O7=0,"VERVANG: nul starts bij 3x doel of meer",IF(M7/O7&lt;=Instellingen!$B$9,"HOUD: kandidaat-winnaar, maximaal +20 % per 5 dagen",IF(M7/O7&lt;=1.5*Instellingen!$B$9,"MONITOR: nog een week","VERVANG of 20 % terug: meer dan 1,5x doel")))))</f>
        <v>Nog niet gestart</v>
      </c>
    </row>
    <row r="8" customFormat="false" ht="61.5" hidden="false" customHeight="true" outlineLevel="0" collapsed="false">
      <c r="A8" s="5" t="s">
        <v>215</v>
      </c>
      <c r="B8" s="23" t="n">
        <v>7</v>
      </c>
      <c r="C8" s="21" t="s">
        <v>50</v>
      </c>
      <c r="D8" s="21" t="s">
        <v>197</v>
      </c>
      <c r="E8" s="21" t="s">
        <v>216</v>
      </c>
      <c r="F8" s="18" t="n">
        <v>46367</v>
      </c>
      <c r="G8" s="18" t="n">
        <v>46375</v>
      </c>
      <c r="H8" s="21" t="s">
        <v>217</v>
      </c>
      <c r="I8" s="21" t="s">
        <v>218</v>
      </c>
      <c r="J8" s="21" t="s">
        <v>219</v>
      </c>
      <c r="K8" s="21" t="s">
        <v>202</v>
      </c>
      <c r="L8" s="11" t="s">
        <v>203</v>
      </c>
      <c r="M8" s="8"/>
      <c r="N8" s="32"/>
      <c r="O8" s="32"/>
      <c r="P8" s="32"/>
      <c r="Q8" s="10" t="str">
        <f aca="false">IF(O8=0,"-",M8/O8)</f>
        <v>-</v>
      </c>
      <c r="R8" s="21" t="str">
        <f aca="false">IF(M8="","Nog niet gestart",IF(M8&lt;3*Instellingen!$B$9,"WACHT: minder dan 3x doel uitgegeven",IF(O8=0,"VERVANG: nul starts bij 3x doel of meer",IF(M8/O8&lt;=Instellingen!$B$9,"HOUD: kandidaat-winnaar, maximaal +20 % per 5 dagen",IF(M8/O8&lt;=1.5*Instellingen!$B$9,"MONITOR: nog een week","VERVANG of 20 % terug: meer dan 1,5x doel")))))</f>
        <v>Nog niet gestart</v>
      </c>
    </row>
    <row r="9" customFormat="false" ht="61.5" hidden="false" customHeight="true" outlineLevel="0" collapsed="false">
      <c r="A9" s="5" t="s">
        <v>220</v>
      </c>
      <c r="B9" s="23" t="n">
        <v>10</v>
      </c>
      <c r="C9" s="21" t="s">
        <v>50</v>
      </c>
      <c r="D9" s="21" t="s">
        <v>197</v>
      </c>
      <c r="E9" s="21" t="s">
        <v>221</v>
      </c>
      <c r="F9" s="18" t="n">
        <v>46374</v>
      </c>
      <c r="G9" s="18" t="n">
        <v>46378</v>
      </c>
      <c r="H9" s="21" t="s">
        <v>222</v>
      </c>
      <c r="I9" s="21" t="s">
        <v>223</v>
      </c>
      <c r="J9" s="21" t="s">
        <v>224</v>
      </c>
      <c r="K9" s="21" t="s">
        <v>225</v>
      </c>
      <c r="L9" s="11" t="s">
        <v>203</v>
      </c>
      <c r="M9" s="8"/>
      <c r="N9" s="32"/>
      <c r="O9" s="32"/>
      <c r="P9" s="32"/>
      <c r="Q9" s="10" t="str">
        <f aca="false">IF(O9=0,"-",M9/O9)</f>
        <v>-</v>
      </c>
      <c r="R9" s="21" t="str">
        <f aca="false">IF(M9="","Nog niet gestart",IF(M9&lt;3*Instellingen!$B$9,"WACHT: minder dan 3x doel uitgegeven",IF(O9=0,"VERVANG: nul starts bij 3x doel of meer",IF(M9/O9&lt;=Instellingen!$B$9,"HOUD: kandidaat-winnaar, maximaal +20 % per 5 dagen",IF(M9/O9&lt;=1.5*Instellingen!$B$9,"MONITOR: nog een week","VERVANG of 20 % terug: meer dan 1,5x doel")))))</f>
        <v>Nog niet gestart</v>
      </c>
    </row>
    <row r="10" customFormat="false" ht="61.5" hidden="false" customHeight="true" outlineLevel="0" collapsed="false">
      <c r="A10" s="5" t="s">
        <v>226</v>
      </c>
      <c r="B10" s="23" t="n">
        <v>13</v>
      </c>
      <c r="C10" s="21" t="s">
        <v>50</v>
      </c>
      <c r="D10" s="21" t="s">
        <v>197</v>
      </c>
      <c r="E10" s="21" t="s">
        <v>227</v>
      </c>
      <c r="F10" s="18" t="n">
        <v>46382</v>
      </c>
      <c r="G10" s="18" t="n">
        <v>46391</v>
      </c>
      <c r="H10" s="21" t="s">
        <v>228</v>
      </c>
      <c r="I10" s="21" t="s">
        <v>229</v>
      </c>
      <c r="J10" s="21" t="s">
        <v>230</v>
      </c>
      <c r="K10" s="21" t="s">
        <v>202</v>
      </c>
      <c r="L10" s="11" t="s">
        <v>203</v>
      </c>
      <c r="M10" s="8"/>
      <c r="N10" s="32"/>
      <c r="O10" s="32"/>
      <c r="P10" s="32"/>
      <c r="Q10" s="10" t="str">
        <f aca="false">IF(O10=0,"-",M10/O10)</f>
        <v>-</v>
      </c>
      <c r="R10" s="21" t="str">
        <f aca="false">IF(M10="","Nog niet gestart",IF(M10&lt;3*Instellingen!$B$9,"WACHT: minder dan 3x doel uitgegeven",IF(O10=0,"VERVANG: nul starts bij 3x doel of meer",IF(M10/O10&lt;=Instellingen!$B$9,"HOUD: kandidaat-winnaar, maximaal +20 % per 5 dagen",IF(M10/O10&lt;=1.5*Instellingen!$B$9,"MONITOR: nog een week","VERVANG of 20 % terug: meer dan 1,5x doel")))))</f>
        <v>Nog niet gestart</v>
      </c>
    </row>
    <row r="11" customFormat="false" ht="61.5" hidden="false" customHeight="true" outlineLevel="0" collapsed="false">
      <c r="A11" s="5" t="s">
        <v>231</v>
      </c>
      <c r="B11" s="23" t="n">
        <v>16</v>
      </c>
      <c r="C11" s="21" t="s">
        <v>50</v>
      </c>
      <c r="D11" s="21" t="s">
        <v>197</v>
      </c>
      <c r="E11" s="21" t="s">
        <v>232</v>
      </c>
      <c r="F11" s="18" t="n">
        <v>46389</v>
      </c>
      <c r="G11" s="18" t="n">
        <v>46391</v>
      </c>
      <c r="H11" s="21" t="s">
        <v>233</v>
      </c>
      <c r="I11" s="21" t="s">
        <v>234</v>
      </c>
      <c r="J11" s="21" t="s">
        <v>235</v>
      </c>
      <c r="K11" s="21" t="s">
        <v>202</v>
      </c>
      <c r="L11" s="11" t="s">
        <v>203</v>
      </c>
      <c r="M11" s="8"/>
      <c r="N11" s="32"/>
      <c r="O11" s="32"/>
      <c r="P11" s="32"/>
      <c r="Q11" s="10" t="str">
        <f aca="false">IF(O11=0,"-",M11/O11)</f>
        <v>-</v>
      </c>
      <c r="R11" s="21" t="str">
        <f aca="false">IF(M11="","Nog niet gestart",IF(M11&lt;3*Instellingen!$B$9,"WACHT: minder dan 3x doel uitgegeven",IF(O11=0,"VERVANG: nul starts bij 3x doel of meer",IF(M11/O11&lt;=Instellingen!$B$9,"HOUD: kandidaat-winnaar, maximaal +20 % per 5 dagen",IF(M11/O11&lt;=1.5*Instellingen!$B$9,"MONITOR: nog een week","VERVANG of 20 % terug: meer dan 1,5x doel")))))</f>
        <v>Nog niet gestart</v>
      </c>
    </row>
    <row r="12" customFormat="false" ht="61.5" hidden="false" customHeight="true" outlineLevel="0" collapsed="false">
      <c r="A12" s="5" t="s">
        <v>236</v>
      </c>
      <c r="B12" s="23" t="n">
        <v>6</v>
      </c>
      <c r="C12" s="21" t="s">
        <v>237</v>
      </c>
      <c r="D12" s="21" t="s">
        <v>238</v>
      </c>
      <c r="E12" s="21" t="s">
        <v>239</v>
      </c>
      <c r="F12" s="18" t="n">
        <v>46359</v>
      </c>
      <c r="G12" s="18" t="n">
        <v>46387</v>
      </c>
      <c r="H12" s="21" t="s">
        <v>240</v>
      </c>
      <c r="I12" s="21" t="s">
        <v>241</v>
      </c>
      <c r="J12" s="21" t="s">
        <v>242</v>
      </c>
      <c r="K12" s="21" t="s">
        <v>225</v>
      </c>
      <c r="L12" s="11" t="s">
        <v>203</v>
      </c>
      <c r="M12" s="8"/>
      <c r="N12" s="32"/>
      <c r="O12" s="32"/>
      <c r="P12" s="32"/>
      <c r="Q12" s="10" t="str">
        <f aca="false">IF(O12=0,"-",M12/O12)</f>
        <v>-</v>
      </c>
      <c r="R12" s="21" t="str">
        <f aca="false">IF(M12="","Nog niet gestart",IF(M12&lt;3*Instellingen!$B$9,"WACHT: minder dan 3x doel uitgegeven",IF(O12=0,"VERVANG: nul starts bij 3x doel of meer",IF(M12/O12&lt;=Instellingen!$B$9,"HOUD: kandidaat-winnaar, maximaal +20 % per 5 dagen",IF(M12/O12&lt;=1.5*Instellingen!$B$9,"MONITOR: nog een week","VERVANG of 20 % terug: meer dan 1,5x doel")))))</f>
        <v>Nog niet gestart</v>
      </c>
    </row>
    <row r="13" customFormat="false" ht="61.5" hidden="false" customHeight="true" outlineLevel="0" collapsed="false">
      <c r="A13" s="5" t="s">
        <v>243</v>
      </c>
      <c r="B13" s="23" t="n">
        <v>9</v>
      </c>
      <c r="C13" s="21" t="s">
        <v>237</v>
      </c>
      <c r="D13" s="21" t="s">
        <v>238</v>
      </c>
      <c r="E13" s="21" t="s">
        <v>244</v>
      </c>
      <c r="F13" s="18" t="n">
        <v>46364</v>
      </c>
      <c r="G13" s="18" t="n">
        <v>46387</v>
      </c>
      <c r="H13" s="21" t="s">
        <v>245</v>
      </c>
      <c r="I13" s="21" t="s">
        <v>246</v>
      </c>
      <c r="J13" s="21" t="s">
        <v>247</v>
      </c>
      <c r="K13" s="21" t="s">
        <v>225</v>
      </c>
      <c r="L13" s="11" t="s">
        <v>203</v>
      </c>
      <c r="M13" s="8"/>
      <c r="N13" s="32"/>
      <c r="O13" s="32"/>
      <c r="P13" s="32"/>
      <c r="Q13" s="10" t="str">
        <f aca="false">IF(O13=0,"-",M13/O13)</f>
        <v>-</v>
      </c>
      <c r="R13" s="21" t="str">
        <f aca="false">IF(M13="","Nog niet gestart",IF(M13&lt;3*Instellingen!$B$9,"WACHT: minder dan 3x doel uitgegeven",IF(O13=0,"VERVANG: nul starts bij 3x doel of meer",IF(M13/O13&lt;=Instellingen!$B$9,"HOUD: kandidaat-winnaar, maximaal +20 % per 5 dagen",IF(M13/O13&lt;=1.5*Instellingen!$B$9,"MONITOR: nog een week","VERVANG of 20 % terug: meer dan 1,5x doel")))))</f>
        <v>Nog niet gestart</v>
      </c>
    </row>
    <row r="14" customFormat="false" ht="61.5" hidden="false" customHeight="true" outlineLevel="0" collapsed="false">
      <c r="A14" s="5" t="s">
        <v>248</v>
      </c>
      <c r="B14" s="23" t="n">
        <v>12</v>
      </c>
      <c r="C14" s="21" t="s">
        <v>52</v>
      </c>
      <c r="D14" s="21" t="s">
        <v>249</v>
      </c>
      <c r="E14" s="21" t="s">
        <v>250</v>
      </c>
      <c r="F14" s="18" t="n">
        <v>46371</v>
      </c>
      <c r="G14" s="18" t="n">
        <v>46375</v>
      </c>
      <c r="H14" s="21" t="s">
        <v>251</v>
      </c>
      <c r="I14" s="21" t="s">
        <v>252</v>
      </c>
      <c r="J14" s="21" t="s">
        <v>253</v>
      </c>
      <c r="K14" s="21" t="s">
        <v>202</v>
      </c>
      <c r="L14" s="11" t="s">
        <v>203</v>
      </c>
      <c r="M14" s="8"/>
      <c r="N14" s="32"/>
      <c r="O14" s="32"/>
      <c r="P14" s="32"/>
      <c r="Q14" s="10" t="str">
        <f aca="false">IF(O14=0,"-",M14/O14)</f>
        <v>-</v>
      </c>
      <c r="R14" s="21" t="str">
        <f aca="false">IF(M14="","Nog niet gestart",IF(M14&lt;3*Instellingen!$B$9,"WACHT: minder dan 3x doel uitgegeven",IF(O14=0,"VERVANG: nul starts bij 3x doel of meer",IF(M14/O14&lt;=Instellingen!$B$9,"HOUD: kandidaat-winnaar, maximaal +20 % per 5 dagen",IF(M14/O14&lt;=1.5*Instellingen!$B$9,"MONITOR: nog een week","VERVANG of 20 % terug: meer dan 1,5x doel")))))</f>
        <v>Nog niet gestart</v>
      </c>
    </row>
    <row r="16" customFormat="false" ht="30" hidden="false" customHeight="true" outlineLevel="0" collapsed="false">
      <c r="A16" s="33" t="s">
        <v>254</v>
      </c>
      <c r="M16" s="34" t="n">
        <v>48</v>
      </c>
      <c r="N16" s="35" t="n">
        <v>61</v>
      </c>
      <c r="O16" s="35" t="n">
        <v>3</v>
      </c>
      <c r="P16" s="35" t="n">
        <v>0</v>
      </c>
      <c r="Q16" s="34" t="n">
        <f aca="false">M16/O16</f>
        <v>16</v>
      </c>
      <c r="R16" s="36" t="s">
        <v>255</v>
      </c>
    </row>
  </sheetData>
  <dataValidations count="1">
    <dataValidation allowBlank="true" errorStyle="stop" operator="between" showDropDown="false" showErrorMessage="false" showInputMessage="false" sqref="L5:L14" type="list">
      <formula1>"Concept,Klaar,Live,Gewonnen,Gedood"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2"/>
    <col collapsed="false" customWidth="true" hidden="false" outlineLevel="0" max="6" min="5" style="0" width="11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4" min="12" style="0" width="9"/>
    <col collapsed="false" customWidth="true" hidden="false" outlineLevel="0" max="16" min="15" style="0" width="12"/>
    <col collapsed="false" customWidth="true" hidden="false" outlineLevel="0" max="17" min="17" style="0" width="11"/>
    <col collapsed="false" customWidth="true" hidden="false" outlineLevel="0" max="18" min="18" style="0" width="15"/>
    <col collapsed="false" customWidth="true" hidden="false" outlineLevel="0" max="19" min="19" style="0" width="12"/>
    <col collapsed="false" customWidth="true" hidden="false" outlineLevel="0" max="20" min="20" style="0" width="20"/>
    <col collapsed="false" customWidth="true" hidden="false" outlineLevel="0" max="21" min="21" style="0" width="40"/>
  </cols>
  <sheetData>
    <row r="1" customFormat="false" ht="17.35" hidden="false" customHeight="false" outlineLevel="0" collapsed="false">
      <c r="A1" s="1" t="s">
        <v>256</v>
      </c>
    </row>
    <row r="2" customFormat="false" ht="15" hidden="false" customHeight="false" outlineLevel="0" collapsed="false">
      <c r="A2" s="4" t="s">
        <v>257</v>
      </c>
    </row>
    <row r="4" customFormat="false" ht="45" hidden="false" customHeight="true" outlineLevel="0" collapsed="false">
      <c r="A4" s="17" t="s">
        <v>258</v>
      </c>
      <c r="B4" s="17" t="s">
        <v>259</v>
      </c>
      <c r="C4" s="17" t="s">
        <v>260</v>
      </c>
      <c r="D4" s="17" t="s">
        <v>261</v>
      </c>
      <c r="E4" s="17" t="s">
        <v>262</v>
      </c>
      <c r="F4" s="17" t="s">
        <v>191</v>
      </c>
      <c r="G4" s="17" t="s">
        <v>263</v>
      </c>
      <c r="H4" s="17" t="s">
        <v>264</v>
      </c>
      <c r="I4" s="17" t="s">
        <v>265</v>
      </c>
      <c r="J4" s="17" t="s">
        <v>266</v>
      </c>
      <c r="K4" s="17" t="s">
        <v>267</v>
      </c>
      <c r="L4" s="17" t="s">
        <v>268</v>
      </c>
      <c r="M4" s="17" t="s">
        <v>269</v>
      </c>
      <c r="N4" s="17" t="s">
        <v>270</v>
      </c>
      <c r="O4" s="17" t="s">
        <v>271</v>
      </c>
      <c r="P4" s="17" t="s">
        <v>272</v>
      </c>
      <c r="Q4" s="17" t="s">
        <v>194</v>
      </c>
      <c r="R4" s="17" t="s">
        <v>273</v>
      </c>
      <c r="S4" s="17" t="s">
        <v>274</v>
      </c>
      <c r="T4" s="17" t="s">
        <v>275</v>
      </c>
      <c r="U4" s="17" t="s">
        <v>276</v>
      </c>
    </row>
    <row r="5" customFormat="false" ht="15" hidden="false" customHeight="false" outlineLevel="0" collapsed="false">
      <c r="A5" s="33" t="s">
        <v>277</v>
      </c>
      <c r="B5" s="34" t="n">
        <v>48</v>
      </c>
      <c r="C5" s="37" t="n">
        <v>6200</v>
      </c>
      <c r="D5" s="37" t="n">
        <v>2100</v>
      </c>
      <c r="E5" s="37" t="n">
        <v>85</v>
      </c>
      <c r="F5" s="37" t="n">
        <v>61</v>
      </c>
      <c r="G5" s="37" t="n">
        <v>3</v>
      </c>
      <c r="H5" s="37" t="n">
        <v>0</v>
      </c>
      <c r="I5" s="38" t="n">
        <v>1.6</v>
      </c>
      <c r="J5" s="37" t="n">
        <v>140</v>
      </c>
      <c r="K5" s="37" t="n">
        <v>3</v>
      </c>
      <c r="L5" s="34" t="n">
        <f aca="false">IF(C5&gt;0,B5/C5*1000,"-")</f>
        <v>7.74193548387097</v>
      </c>
      <c r="M5" s="39" t="n">
        <f aca="false">IF(C5&gt;0,E5/C5,"-")</f>
        <v>0.0137096774193548</v>
      </c>
      <c r="N5" s="39" t="n">
        <f aca="false">IF(C5&gt;0,D5/C5,"-")</f>
        <v>0.338709677419355</v>
      </c>
      <c r="O5" s="34" t="n">
        <f aca="false">IF(F5&gt;0,B5/F5,"-")</f>
        <v>0.786885245901639</v>
      </c>
      <c r="P5" s="34" t="n">
        <f aca="false">IF(J5&gt;0,B5/J5,"-")</f>
        <v>0.342857142857143</v>
      </c>
      <c r="Q5" s="34" t="n">
        <f aca="false">IF(G5&gt;0,B5/G5,"-")</f>
        <v>16</v>
      </c>
      <c r="R5" s="34" t="n">
        <f aca="false">IF(K5&gt;0,B5/K5,"-")</f>
        <v>16</v>
      </c>
      <c r="S5" s="39" t="n">
        <f aca="false">IF(J5&gt;0,K5/J5,"-")</f>
        <v>0.0214285714285714</v>
      </c>
      <c r="T5" s="36" t="str">
        <f aca="false">IF(B5="","-",IF(B5&lt;3*Instellingen!$B$9,"WACHT: te weinig data",IF(G5=0,"VERVANG: nul starts",IF(B5/G5&lt;=Instellingen!$B$9,"OK: onder doel",IF(B5/G5&lt;=1.5*Instellingen!$B$9,"MONITOR","ROOD: boven 1,5x doel")))))</f>
        <v>MONITOR</v>
      </c>
      <c r="U5" s="36" t="s">
        <v>278</v>
      </c>
    </row>
    <row r="6" customFormat="false" ht="15" hidden="false" customHeight="false" outlineLevel="0" collapsed="false">
      <c r="A6" s="5" t="s">
        <v>279</v>
      </c>
      <c r="B6" s="8"/>
      <c r="C6" s="40"/>
      <c r="D6" s="40"/>
      <c r="E6" s="40"/>
      <c r="F6" s="40"/>
      <c r="G6" s="40"/>
      <c r="H6" s="40"/>
      <c r="I6" s="41"/>
      <c r="J6" s="40"/>
      <c r="K6" s="40"/>
      <c r="L6" s="10" t="str">
        <f aca="false">IF(C6&gt;0,B6/C6*1000,"-")</f>
        <v>-</v>
      </c>
      <c r="M6" s="15" t="str">
        <f aca="false">IF(C6&gt;0,E6/C6,"-")</f>
        <v>-</v>
      </c>
      <c r="N6" s="15" t="str">
        <f aca="false">IF(C6&gt;0,D6/C6,"-")</f>
        <v>-</v>
      </c>
      <c r="O6" s="10" t="str">
        <f aca="false">IF(F6&gt;0,B6/F6,"-")</f>
        <v>-</v>
      </c>
      <c r="P6" s="10" t="str">
        <f aca="false">IF(J6&gt;0,B6/J6,"-")</f>
        <v>-</v>
      </c>
      <c r="Q6" s="10" t="str">
        <f aca="false">IF(G6&gt;0,B6/G6,"-")</f>
        <v>-</v>
      </c>
      <c r="R6" s="10" t="str">
        <f aca="false">IF(K6&gt;0,B6/K6,"-")</f>
        <v>-</v>
      </c>
      <c r="S6" s="15" t="str">
        <f aca="false">IF(J6&gt;0,K6/J6,"-")</f>
        <v>-</v>
      </c>
      <c r="T6" s="21" t="str">
        <f aca="false">IF(B6="","-",IF(B6&lt;3*Instellingen!$B$9,"WACHT: te weinig data",IF(G6=0,"VERVANG: nul starts",IF(B6/G6&lt;=Instellingen!$B$9,"OK: onder doel",IF(B6/G6&lt;=1.5*Instellingen!$B$9,"MONITOR","ROOD: boven 1,5x doel")))))</f>
        <v>-</v>
      </c>
      <c r="U6" s="21"/>
    </row>
    <row r="7" customFormat="false" ht="15" hidden="false" customHeight="false" outlineLevel="0" collapsed="false">
      <c r="A7" s="5" t="s">
        <v>280</v>
      </c>
      <c r="B7" s="8"/>
      <c r="C7" s="40"/>
      <c r="D7" s="40"/>
      <c r="E7" s="40"/>
      <c r="F7" s="40"/>
      <c r="G7" s="40"/>
      <c r="H7" s="40"/>
      <c r="I7" s="41"/>
      <c r="J7" s="40"/>
      <c r="K7" s="40"/>
      <c r="L7" s="10" t="str">
        <f aca="false">IF(C7&gt;0,B7/C7*1000,"-")</f>
        <v>-</v>
      </c>
      <c r="M7" s="15" t="str">
        <f aca="false">IF(C7&gt;0,E7/C7,"-")</f>
        <v>-</v>
      </c>
      <c r="N7" s="15" t="str">
        <f aca="false">IF(C7&gt;0,D7/C7,"-")</f>
        <v>-</v>
      </c>
      <c r="O7" s="10" t="str">
        <f aca="false">IF(F7&gt;0,B7/F7,"-")</f>
        <v>-</v>
      </c>
      <c r="P7" s="10" t="str">
        <f aca="false">IF(J7&gt;0,B7/J7,"-")</f>
        <v>-</v>
      </c>
      <c r="Q7" s="10" t="str">
        <f aca="false">IF(G7&gt;0,B7/G7,"-")</f>
        <v>-</v>
      </c>
      <c r="R7" s="10" t="str">
        <f aca="false">IF(K7&gt;0,B7/K7,"-")</f>
        <v>-</v>
      </c>
      <c r="S7" s="15" t="str">
        <f aca="false">IF(J7&gt;0,K7/J7,"-")</f>
        <v>-</v>
      </c>
      <c r="T7" s="21" t="str">
        <f aca="false">IF(B7="","-",IF(B7&lt;3*Instellingen!$B$9,"WACHT: te weinig data",IF(G7=0,"VERVANG: nul starts",IF(B7/G7&lt;=Instellingen!$B$9,"OK: onder doel",IF(B7/G7&lt;=1.5*Instellingen!$B$9,"MONITOR","ROOD: boven 1,5x doel")))))</f>
        <v>-</v>
      </c>
      <c r="U7" s="21"/>
    </row>
    <row r="8" customFormat="false" ht="23.85" hidden="false" customHeight="false" outlineLevel="0" collapsed="false">
      <c r="A8" s="5" t="s">
        <v>281</v>
      </c>
      <c r="B8" s="8"/>
      <c r="C8" s="40"/>
      <c r="D8" s="40"/>
      <c r="E8" s="40"/>
      <c r="F8" s="40"/>
      <c r="G8" s="40"/>
      <c r="H8" s="40"/>
      <c r="I8" s="41"/>
      <c r="J8" s="40"/>
      <c r="K8" s="40"/>
      <c r="L8" s="10" t="str">
        <f aca="false">IF(C8&gt;0,B8/C8*1000,"-")</f>
        <v>-</v>
      </c>
      <c r="M8" s="15" t="str">
        <f aca="false">IF(C8&gt;0,E8/C8,"-")</f>
        <v>-</v>
      </c>
      <c r="N8" s="15" t="str">
        <f aca="false">IF(C8&gt;0,D8/C8,"-")</f>
        <v>-</v>
      </c>
      <c r="O8" s="10" t="str">
        <f aca="false">IF(F8&gt;0,B8/F8,"-")</f>
        <v>-</v>
      </c>
      <c r="P8" s="10" t="str">
        <f aca="false">IF(J8&gt;0,B8/J8,"-")</f>
        <v>-</v>
      </c>
      <c r="Q8" s="10" t="str">
        <f aca="false">IF(G8&gt;0,B8/G8,"-")</f>
        <v>-</v>
      </c>
      <c r="R8" s="10" t="str">
        <f aca="false">IF(K8&gt;0,B8/K8,"-")</f>
        <v>-</v>
      </c>
      <c r="S8" s="15" t="str">
        <f aca="false">IF(J8&gt;0,K8/J8,"-")</f>
        <v>-</v>
      </c>
      <c r="T8" s="21" t="str">
        <f aca="false">IF(B8="","-",IF(B8&lt;3*Instellingen!$B$9,"WACHT: te weinig data",IF(G8=0,"VERVANG: nul starts",IF(B8/G8&lt;=Instellingen!$B$9,"OK: onder doel",IF(B8/G8&lt;=1.5*Instellingen!$B$9,"MONITOR","ROOD: boven 1,5x doel")))))</f>
        <v>-</v>
      </c>
      <c r="U8" s="21"/>
    </row>
    <row r="9" customFormat="false" ht="23.85" hidden="false" customHeight="false" outlineLevel="0" collapsed="false">
      <c r="A9" s="5" t="s">
        <v>282</v>
      </c>
      <c r="B9" s="8"/>
      <c r="C9" s="40"/>
      <c r="D9" s="40"/>
      <c r="E9" s="40"/>
      <c r="F9" s="40"/>
      <c r="G9" s="40"/>
      <c r="H9" s="40"/>
      <c r="I9" s="41"/>
      <c r="J9" s="40"/>
      <c r="K9" s="40"/>
      <c r="L9" s="10" t="str">
        <f aca="false">IF(C9&gt;0,B9/C9*1000,"-")</f>
        <v>-</v>
      </c>
      <c r="M9" s="15" t="str">
        <f aca="false">IF(C9&gt;0,E9/C9,"-")</f>
        <v>-</v>
      </c>
      <c r="N9" s="15" t="str">
        <f aca="false">IF(C9&gt;0,D9/C9,"-")</f>
        <v>-</v>
      </c>
      <c r="O9" s="10" t="str">
        <f aca="false">IF(F9&gt;0,B9/F9,"-")</f>
        <v>-</v>
      </c>
      <c r="P9" s="10" t="str">
        <f aca="false">IF(J9&gt;0,B9/J9,"-")</f>
        <v>-</v>
      </c>
      <c r="Q9" s="10" t="str">
        <f aca="false">IF(G9&gt;0,B9/G9,"-")</f>
        <v>-</v>
      </c>
      <c r="R9" s="10" t="str">
        <f aca="false">IF(K9&gt;0,B9/K9,"-")</f>
        <v>-</v>
      </c>
      <c r="S9" s="15" t="str">
        <f aca="false">IF(J9&gt;0,K9/J9,"-")</f>
        <v>-</v>
      </c>
      <c r="T9" s="21" t="str">
        <f aca="false">IF(B9="","-",IF(B9&lt;3*Instellingen!$B$9,"WACHT: te weinig data",IF(G9=0,"VERVANG: nul starts",IF(B9/G9&lt;=Instellingen!$B$9,"OK: onder doel",IF(B9/G9&lt;=1.5*Instellingen!$B$9,"MONITOR","ROOD: boven 1,5x doel")))))</f>
        <v>-</v>
      </c>
      <c r="U9" s="21"/>
    </row>
    <row r="10" customFormat="false" ht="15" hidden="false" customHeight="false" outlineLevel="0" collapsed="false">
      <c r="A10" s="5" t="s">
        <v>283</v>
      </c>
      <c r="B10" s="8"/>
      <c r="C10" s="40"/>
      <c r="D10" s="40"/>
      <c r="E10" s="40"/>
      <c r="F10" s="40"/>
      <c r="G10" s="40"/>
      <c r="H10" s="40"/>
      <c r="I10" s="41"/>
      <c r="J10" s="40"/>
      <c r="K10" s="40"/>
      <c r="L10" s="10" t="str">
        <f aca="false">IF(C10&gt;0,B10/C10*1000,"-")</f>
        <v>-</v>
      </c>
      <c r="M10" s="15" t="str">
        <f aca="false">IF(C10&gt;0,E10/C10,"-")</f>
        <v>-</v>
      </c>
      <c r="N10" s="15" t="str">
        <f aca="false">IF(C10&gt;0,D10/C10,"-")</f>
        <v>-</v>
      </c>
      <c r="O10" s="10" t="str">
        <f aca="false">IF(F10&gt;0,B10/F10,"-")</f>
        <v>-</v>
      </c>
      <c r="P10" s="10" t="str">
        <f aca="false">IF(J10&gt;0,B10/J10,"-")</f>
        <v>-</v>
      </c>
      <c r="Q10" s="10" t="str">
        <f aca="false">IF(G10&gt;0,B10/G10,"-")</f>
        <v>-</v>
      </c>
      <c r="R10" s="10" t="str">
        <f aca="false">IF(K10&gt;0,B10/K10,"-")</f>
        <v>-</v>
      </c>
      <c r="S10" s="15" t="str">
        <f aca="false">IF(J10&gt;0,K10/J10,"-")</f>
        <v>-</v>
      </c>
      <c r="T10" s="21" t="str">
        <f aca="false">IF(B10="","-",IF(B10&lt;3*Instellingen!$B$9,"WACHT: te weinig data",IF(G10=0,"VERVANG: nul starts",IF(B10/G10&lt;=Instellingen!$B$9,"OK: onder doel",IF(B10/G10&lt;=1.5*Instellingen!$B$9,"MONITOR","ROOD: boven 1,5x doel")))))</f>
        <v>-</v>
      </c>
      <c r="U10" s="21"/>
    </row>
    <row r="11" customFormat="false" ht="15" hidden="false" customHeight="false" outlineLevel="0" collapsed="false">
      <c r="A11" s="5" t="s">
        <v>284</v>
      </c>
      <c r="B11" s="8"/>
      <c r="C11" s="40"/>
      <c r="D11" s="40"/>
      <c r="E11" s="40"/>
      <c r="F11" s="40"/>
      <c r="G11" s="40"/>
      <c r="H11" s="40"/>
      <c r="I11" s="41"/>
      <c r="J11" s="40"/>
      <c r="K11" s="40"/>
      <c r="L11" s="10" t="str">
        <f aca="false">IF(C11&gt;0,B11/C11*1000,"-")</f>
        <v>-</v>
      </c>
      <c r="M11" s="15" t="str">
        <f aca="false">IF(C11&gt;0,E11/C11,"-")</f>
        <v>-</v>
      </c>
      <c r="N11" s="15" t="str">
        <f aca="false">IF(C11&gt;0,D11/C11,"-")</f>
        <v>-</v>
      </c>
      <c r="O11" s="10" t="str">
        <f aca="false">IF(F11&gt;0,B11/F11,"-")</f>
        <v>-</v>
      </c>
      <c r="P11" s="10" t="str">
        <f aca="false">IF(J11&gt;0,B11/J11,"-")</f>
        <v>-</v>
      </c>
      <c r="Q11" s="10" t="str">
        <f aca="false">IF(G11&gt;0,B11/G11,"-")</f>
        <v>-</v>
      </c>
      <c r="R11" s="10" t="str">
        <f aca="false">IF(K11&gt;0,B11/K11,"-")</f>
        <v>-</v>
      </c>
      <c r="S11" s="15" t="str">
        <f aca="false">IF(J11&gt;0,K11/J11,"-")</f>
        <v>-</v>
      </c>
      <c r="T11" s="21" t="str">
        <f aca="false">IF(B11="","-",IF(B11&lt;3*Instellingen!$B$9,"WACHT: te weinig data",IF(G11=0,"VERVANG: nul starts",IF(B11/G11&lt;=Instellingen!$B$9,"OK: onder doel",IF(B11/G11&lt;=1.5*Instellingen!$B$9,"MONITOR","ROOD: boven 1,5x doel")))))</f>
        <v>-</v>
      </c>
      <c r="U11" s="21"/>
    </row>
    <row r="12" customFormat="false" ht="15" hidden="false" customHeight="false" outlineLevel="0" collapsed="false">
      <c r="A12" s="13" t="s">
        <v>177</v>
      </c>
      <c r="B12" s="22" t="n">
        <f aca="false">SUM(B6:B11)</f>
        <v>0</v>
      </c>
      <c r="C12" s="42" t="n">
        <f aca="false">SUM(C6:C11)</f>
        <v>0</v>
      </c>
      <c r="D12" s="42" t="n">
        <f aca="false">SUM(D6:D11)</f>
        <v>0</v>
      </c>
      <c r="E12" s="42" t="n">
        <f aca="false">SUM(E6:E11)</f>
        <v>0</v>
      </c>
      <c r="F12" s="42" t="n">
        <f aca="false">SUM(F6:F11)</f>
        <v>0</v>
      </c>
      <c r="G12" s="42" t="n">
        <f aca="false">SUM(G6:G11)</f>
        <v>0</v>
      </c>
      <c r="H12" s="42" t="n">
        <f aca="false">SUM(H6:H11)</f>
        <v>0</v>
      </c>
      <c r="I12" s="43" t="n">
        <f aca="false">IF(COUNT(I6:I11)=0,0,AVERAGE(I6:I11))</f>
        <v>0</v>
      </c>
      <c r="J12" s="42" t="n">
        <f aca="false">SUM(J6:J11)</f>
        <v>0</v>
      </c>
      <c r="K12" s="42" t="n">
        <f aca="false">SUM(K6:K11)</f>
        <v>0</v>
      </c>
      <c r="L12" s="22" t="str">
        <f aca="false">IF(C12&gt;0,B12/C12*1000,"-")</f>
        <v>-</v>
      </c>
      <c r="M12" s="44" t="str">
        <f aca="false">IF(C12&gt;0,E12/C12,"-")</f>
        <v>-</v>
      </c>
      <c r="N12" s="44" t="str">
        <f aca="false">IF(C12&gt;0,D12/C12,"-")</f>
        <v>-</v>
      </c>
      <c r="O12" s="22" t="str">
        <f aca="false">IF(F12&gt;0,B12/F12,"-")</f>
        <v>-</v>
      </c>
      <c r="P12" s="22" t="str">
        <f aca="false">IF(J12&gt;0,B12/J12,"-")</f>
        <v>-</v>
      </c>
      <c r="Q12" s="22" t="str">
        <f aca="false">IF(G12&gt;0,B12/G12,"-")</f>
        <v>-</v>
      </c>
      <c r="R12" s="22" t="str">
        <f aca="false">IF(K12&gt;0,B12/K12,"-")</f>
        <v>-</v>
      </c>
      <c r="S12" s="44" t="str">
        <f aca="false">IF(J12&gt;0,K12/J12,"-")</f>
        <v>-</v>
      </c>
    </row>
    <row r="14" customFormat="false" ht="15" hidden="false" customHeight="false" outlineLevel="0" collapsed="false">
      <c r="A14" s="4" t="s">
        <v>285</v>
      </c>
    </row>
    <row r="15" customFormat="false" ht="15" hidden="false" customHeight="false" outlineLevel="0" collapsed="false">
      <c r="A15" s="4" t="s">
        <v>286</v>
      </c>
    </row>
    <row r="16" customFormat="false" ht="15" hidden="false" customHeight="false" outlineLevel="0" collapsed="false">
      <c r="A16" s="4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6" min="2" style="0" width="14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288</v>
      </c>
    </row>
    <row r="3" customFormat="false" ht="15" hidden="false" customHeight="false" outlineLevel="0" collapsed="false">
      <c r="A3" s="12" t="s">
        <v>289</v>
      </c>
    </row>
    <row r="4" customFormat="false" ht="32.8" hidden="false" customHeight="false" outlineLevel="0" collapsed="false">
      <c r="A4" s="13" t="s">
        <v>290</v>
      </c>
      <c r="B4" s="10" t="n">
        <f aca="false">Instellingen!B7</f>
        <v>2.88429752066116</v>
      </c>
      <c r="G4" s="45" t="s">
        <v>291</v>
      </c>
    </row>
    <row r="5" customFormat="false" ht="15" hidden="false" customHeight="false" outlineLevel="0" collapsed="false">
      <c r="A5" s="13" t="s">
        <v>292</v>
      </c>
      <c r="B5" s="10" t="n">
        <f aca="false">B4*Instellingen!B8</f>
        <v>2.45165289256198</v>
      </c>
    </row>
    <row r="6" customFormat="false" ht="15" hidden="false" customHeight="false" outlineLevel="0" collapsed="false">
      <c r="A6" s="13" t="s">
        <v>293</v>
      </c>
      <c r="B6" s="10" t="n">
        <f aca="false">B5*6</f>
        <v>14.7099173553719</v>
      </c>
    </row>
    <row r="7" customFormat="false" ht="15" hidden="false" customHeight="false" outlineLevel="0" collapsed="false">
      <c r="A7" s="13" t="s">
        <v>294</v>
      </c>
      <c r="B7" s="10" t="n">
        <f aca="false">B5*12</f>
        <v>29.4198347107438</v>
      </c>
    </row>
    <row r="8" customFormat="false" ht="23.85" hidden="false" customHeight="false" outlineLevel="0" collapsed="false">
      <c r="A8" s="5" t="s">
        <v>295</v>
      </c>
      <c r="B8" s="10" t="n">
        <f aca="false">Instellingen!B4/13</f>
        <v>30.7692307692308</v>
      </c>
      <c r="C8" s="46" t="n">
        <f aca="false">B8/B5</f>
        <v>12.5504025723139</v>
      </c>
      <c r="D8" s="4" t="s">
        <v>296</v>
      </c>
    </row>
    <row r="9" customFormat="false" ht="15" hidden="false" customHeight="false" outlineLevel="0" collapsed="false">
      <c r="A9" s="5" t="s">
        <v>297</v>
      </c>
      <c r="B9" s="10" t="n">
        <f aca="false">B4</f>
        <v>2.88429752066116</v>
      </c>
      <c r="C9" s="46" t="n">
        <f aca="false">B9/B5</f>
        <v>1.17647058823529</v>
      </c>
      <c r="D9" s="4" t="s">
        <v>298</v>
      </c>
    </row>
    <row r="11" customFormat="false" ht="15" hidden="false" customHeight="false" outlineLevel="0" collapsed="false">
      <c r="A11" s="12" t="s">
        <v>299</v>
      </c>
      <c r="B11" s="4" t="s">
        <v>300</v>
      </c>
    </row>
    <row r="12" customFormat="false" ht="15" hidden="false" customHeight="false" outlineLevel="0" collapsed="false">
      <c r="A12" s="13" t="s">
        <v>301</v>
      </c>
      <c r="B12" s="9" t="n">
        <v>0.01</v>
      </c>
      <c r="C12" s="9" t="n">
        <v>0.02</v>
      </c>
      <c r="D12" s="9" t="n">
        <v>0.03</v>
      </c>
      <c r="E12" s="9" t="n">
        <v>0.04</v>
      </c>
    </row>
    <row r="13" customFormat="false" ht="15" hidden="false" customHeight="false" outlineLevel="0" collapsed="false">
      <c r="A13" s="8" t="n">
        <v>0.4</v>
      </c>
      <c r="B13" s="10" t="n">
        <f aca="false">$A13/B$12</f>
        <v>40</v>
      </c>
      <c r="C13" s="10" t="n">
        <f aca="false">$A13/C$12</f>
        <v>20</v>
      </c>
      <c r="D13" s="10" t="n">
        <f aca="false">$A13/D$12</f>
        <v>13.3333333333333</v>
      </c>
      <c r="E13" s="10" t="n">
        <f aca="false">$A13/E$12</f>
        <v>10</v>
      </c>
    </row>
    <row r="14" customFormat="false" ht="15" hidden="false" customHeight="false" outlineLevel="0" collapsed="false">
      <c r="A14" s="8" t="n">
        <v>0.8</v>
      </c>
      <c r="B14" s="10" t="n">
        <f aca="false">$A14/B$12</f>
        <v>80</v>
      </c>
      <c r="C14" s="10" t="n">
        <f aca="false">$A14/C$12</f>
        <v>40</v>
      </c>
      <c r="D14" s="10" t="n">
        <f aca="false">$A14/D$12</f>
        <v>26.6666666666667</v>
      </c>
      <c r="E14" s="10" t="n">
        <f aca="false">$A14/E$12</f>
        <v>20</v>
      </c>
    </row>
    <row r="15" customFormat="false" ht="15" hidden="false" customHeight="false" outlineLevel="0" collapsed="false">
      <c r="A15" s="8" t="n">
        <v>1.2</v>
      </c>
      <c r="B15" s="10" t="n">
        <f aca="false">$A15/B$12</f>
        <v>120</v>
      </c>
      <c r="C15" s="10" t="n">
        <f aca="false">$A15/C$12</f>
        <v>60</v>
      </c>
      <c r="D15" s="10" t="n">
        <f aca="false">$A15/D$12</f>
        <v>40</v>
      </c>
      <c r="E15" s="10" t="n">
        <f aca="false">$A15/E$12</f>
        <v>30</v>
      </c>
    </row>
    <row r="16" customFormat="false" ht="15" hidden="false" customHeight="false" outlineLevel="0" collapsed="false">
      <c r="A16" s="8" t="n">
        <v>1.5</v>
      </c>
      <c r="B16" s="10" t="n">
        <f aca="false">$A16/B$12</f>
        <v>150</v>
      </c>
      <c r="C16" s="10" t="n">
        <f aca="false">$A16/C$12</f>
        <v>75</v>
      </c>
      <c r="D16" s="10" t="n">
        <f aca="false">$A16/D$12</f>
        <v>50</v>
      </c>
      <c r="E16" s="10" t="n">
        <f aca="false">$A16/E$12</f>
        <v>37.5</v>
      </c>
    </row>
    <row r="17" customFormat="false" ht="15" hidden="false" customHeight="false" outlineLevel="0" collapsed="false">
      <c r="A17" s="4" t="s">
        <v>302</v>
      </c>
    </row>
    <row r="19" customFormat="false" ht="15" hidden="false" customHeight="false" outlineLevel="0" collapsed="false">
      <c r="A19" s="12" t="s">
        <v>303</v>
      </c>
      <c r="B19" s="4" t="s">
        <v>300</v>
      </c>
    </row>
    <row r="20" customFormat="false" ht="15" hidden="false" customHeight="false" outlineLevel="0" collapsed="false">
      <c r="A20" s="13" t="s">
        <v>301</v>
      </c>
      <c r="B20" s="9" t="n">
        <v>0.01</v>
      </c>
      <c r="C20" s="9" t="n">
        <v>0.02</v>
      </c>
      <c r="D20" s="9" t="n">
        <v>0.03</v>
      </c>
      <c r="E20" s="9" t="n">
        <v>0.04</v>
      </c>
    </row>
    <row r="21" customFormat="false" ht="15" hidden="false" customHeight="false" outlineLevel="0" collapsed="false">
      <c r="A21" s="8" t="n">
        <v>0.4</v>
      </c>
      <c r="B21" s="46" t="n">
        <f aca="false">Instellingen!$B$4/($A21/B$20)</f>
        <v>10</v>
      </c>
      <c r="C21" s="46" t="n">
        <f aca="false">Instellingen!$B$4/($A21/C$20)</f>
        <v>20</v>
      </c>
      <c r="D21" s="46" t="n">
        <f aca="false">Instellingen!$B$4/($A21/D$20)</f>
        <v>30</v>
      </c>
      <c r="E21" s="46" t="n">
        <f aca="false">Instellingen!$B$4/($A21/E$20)</f>
        <v>40</v>
      </c>
    </row>
    <row r="22" customFormat="false" ht="15" hidden="false" customHeight="false" outlineLevel="0" collapsed="false">
      <c r="A22" s="8" t="n">
        <v>0.8</v>
      </c>
      <c r="B22" s="46" t="n">
        <f aca="false">Instellingen!$B$4/($A22/B$20)</f>
        <v>5</v>
      </c>
      <c r="C22" s="46" t="n">
        <f aca="false">Instellingen!$B$4/($A22/C$20)</f>
        <v>10</v>
      </c>
      <c r="D22" s="46" t="n">
        <f aca="false">Instellingen!$B$4/($A22/D$20)</f>
        <v>15</v>
      </c>
      <c r="E22" s="46" t="n">
        <f aca="false">Instellingen!$B$4/($A22/E$20)</f>
        <v>20</v>
      </c>
    </row>
    <row r="23" customFormat="false" ht="15" hidden="false" customHeight="false" outlineLevel="0" collapsed="false">
      <c r="A23" s="8" t="n">
        <v>1.2</v>
      </c>
      <c r="B23" s="46" t="n">
        <f aca="false">Instellingen!$B$4/($A23/B$20)</f>
        <v>3.33333333333333</v>
      </c>
      <c r="C23" s="46" t="n">
        <f aca="false">Instellingen!$B$4/($A23/C$20)</f>
        <v>6.66666666666667</v>
      </c>
      <c r="D23" s="46" t="n">
        <f aca="false">Instellingen!$B$4/($A23/D$20)</f>
        <v>10</v>
      </c>
      <c r="E23" s="46" t="n">
        <f aca="false">Instellingen!$B$4/($A23/E$20)</f>
        <v>13.3333333333333</v>
      </c>
    </row>
    <row r="24" customFormat="false" ht="15" hidden="false" customHeight="false" outlineLevel="0" collapsed="false">
      <c r="A24" s="8" t="n">
        <v>1.5</v>
      </c>
      <c r="B24" s="46" t="n">
        <f aca="false">Instellingen!$B$4/($A24/B$20)</f>
        <v>2.66666666666667</v>
      </c>
      <c r="C24" s="46" t="n">
        <f aca="false">Instellingen!$B$4/($A24/C$20)</f>
        <v>5.33333333333333</v>
      </c>
      <c r="D24" s="46" t="n">
        <f aca="false">Instellingen!$B$4/($A24/D$20)</f>
        <v>8</v>
      </c>
      <c r="E24" s="46" t="n">
        <f aca="false">Instellingen!$B$4/($A24/E$20)</f>
        <v>10.6666666666667</v>
      </c>
    </row>
    <row r="25" customFormat="false" ht="15" hidden="false" customHeight="false" outlineLevel="0" collapsed="false">
      <c r="A25" s="4" t="s">
        <v>304</v>
      </c>
    </row>
    <row r="27" customFormat="false" ht="15" hidden="false" customHeight="false" outlineLevel="0" collapsed="false">
      <c r="A27" s="12" t="s">
        <v>305</v>
      </c>
      <c r="B27" s="4" t="s">
        <v>300</v>
      </c>
    </row>
    <row r="28" customFormat="false" ht="15" hidden="false" customHeight="false" outlineLevel="0" collapsed="false">
      <c r="A28" s="13" t="s">
        <v>301</v>
      </c>
      <c r="B28" s="9" t="n">
        <v>0.01</v>
      </c>
      <c r="C28" s="9" t="n">
        <v>0.02</v>
      </c>
      <c r="D28" s="9" t="n">
        <v>0.03</v>
      </c>
      <c r="E28" s="9" t="n">
        <v>0.04</v>
      </c>
    </row>
    <row r="29" customFormat="false" ht="15" hidden="false" customHeight="false" outlineLevel="0" collapsed="false">
      <c r="A29" s="8" t="n">
        <v>0.4</v>
      </c>
      <c r="B29" s="46" t="n">
        <f aca="false">($A29/B$28)/$B$5</f>
        <v>16.3155233440081</v>
      </c>
      <c r="C29" s="46" t="n">
        <f aca="false">($A29/C$28)/$B$5</f>
        <v>8.15776167200404</v>
      </c>
      <c r="D29" s="46" t="n">
        <f aca="false">($A29/D$28)/$B$5</f>
        <v>5.43850778133603</v>
      </c>
      <c r="E29" s="46" t="n">
        <f aca="false">($A29/E$28)/$B$5</f>
        <v>4.07888083600202</v>
      </c>
    </row>
    <row r="30" customFormat="false" ht="15" hidden="false" customHeight="false" outlineLevel="0" collapsed="false">
      <c r="A30" s="8" t="n">
        <v>0.8</v>
      </c>
      <c r="B30" s="46" t="n">
        <f aca="false">($A30/B$28)/$B$5</f>
        <v>32.6310466880162</v>
      </c>
      <c r="C30" s="46" t="n">
        <f aca="false">($A30/C$28)/$B$5</f>
        <v>16.3155233440081</v>
      </c>
      <c r="D30" s="46" t="n">
        <f aca="false">($A30/D$28)/$B$5</f>
        <v>10.8770155626721</v>
      </c>
      <c r="E30" s="46" t="n">
        <f aca="false">($A30/E$28)/$B$5</f>
        <v>8.15776167200404</v>
      </c>
    </row>
    <row r="31" customFormat="false" ht="15" hidden="false" customHeight="false" outlineLevel="0" collapsed="false">
      <c r="A31" s="8" t="n">
        <v>1.2</v>
      </c>
      <c r="B31" s="46" t="n">
        <f aca="false">($A31/B$28)/$B$5</f>
        <v>48.9465700320243</v>
      </c>
      <c r="C31" s="46" t="n">
        <f aca="false">($A31/C$28)/$B$5</f>
        <v>24.4732850160121</v>
      </c>
      <c r="D31" s="46" t="n">
        <f aca="false">($A31/D$28)/$B$5</f>
        <v>16.3155233440081</v>
      </c>
      <c r="E31" s="46" t="n">
        <f aca="false">($A31/E$28)/$B$5</f>
        <v>12.2366425080061</v>
      </c>
    </row>
    <row r="32" customFormat="false" ht="15" hidden="false" customHeight="false" outlineLevel="0" collapsed="false">
      <c r="A32" s="8" t="n">
        <v>1.5</v>
      </c>
      <c r="B32" s="46" t="n">
        <f aca="false">($A32/B$28)/$B$5</f>
        <v>61.1832125400303</v>
      </c>
      <c r="C32" s="46" t="n">
        <f aca="false">($A32/C$28)/$B$5</f>
        <v>30.5916062700152</v>
      </c>
      <c r="D32" s="46" t="n">
        <f aca="false">($A32/D$28)/$B$5</f>
        <v>20.3944041800101</v>
      </c>
      <c r="E32" s="46" t="n">
        <f aca="false">($A32/E$28)/$B$5</f>
        <v>15.2958031350076</v>
      </c>
    </row>
    <row r="33" customFormat="false" ht="15" hidden="false" customHeight="false" outlineLevel="0" collapsed="false">
      <c r="A33" s="4" t="s">
        <v>306</v>
      </c>
    </row>
    <row r="35" customFormat="false" ht="15" hidden="false" customHeight="false" outlineLevel="0" collapsed="false">
      <c r="A35" s="12" t="s">
        <v>307</v>
      </c>
    </row>
    <row r="36" customFormat="false" ht="30" hidden="false" customHeight="true" outlineLevel="0" collapsed="false">
      <c r="A36" s="47" t="s">
        <v>308</v>
      </c>
      <c r="B36" s="47"/>
      <c r="C36" s="47"/>
      <c r="D36" s="47"/>
      <c r="E36" s="47"/>
      <c r="F36" s="47"/>
      <c r="G36" s="47"/>
    </row>
  </sheetData>
  <mergeCells count="1"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60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309</v>
      </c>
    </row>
    <row r="2" customFormat="false" ht="15" hidden="false" customHeight="false" outlineLevel="0" collapsed="false">
      <c r="A2" s="4" t="s">
        <v>310</v>
      </c>
    </row>
    <row r="4" customFormat="false" ht="15" hidden="false" customHeight="false" outlineLevel="0" collapsed="false">
      <c r="A4" s="17" t="s">
        <v>311</v>
      </c>
      <c r="B4" s="17" t="s">
        <v>312</v>
      </c>
      <c r="C4" s="17" t="s">
        <v>313</v>
      </c>
      <c r="D4" s="17" t="s">
        <v>314</v>
      </c>
      <c r="E4" s="17" t="s">
        <v>315</v>
      </c>
      <c r="F4" s="17" t="s">
        <v>316</v>
      </c>
      <c r="G4" s="17" t="s">
        <v>189</v>
      </c>
      <c r="H4" s="17" t="s">
        <v>276</v>
      </c>
    </row>
    <row r="5" customFormat="false" ht="55.5" hidden="false" customHeight="true" outlineLevel="0" collapsed="false">
      <c r="A5" s="5" t="s">
        <v>317</v>
      </c>
      <c r="B5" s="21" t="s">
        <v>318</v>
      </c>
      <c r="C5" s="21" t="s">
        <v>319</v>
      </c>
      <c r="D5" s="21" t="s">
        <v>320</v>
      </c>
      <c r="E5" s="21" t="s">
        <v>321</v>
      </c>
      <c r="F5" s="48" t="n">
        <v>46337</v>
      </c>
      <c r="G5" s="11" t="s">
        <v>322</v>
      </c>
      <c r="H5" s="49"/>
    </row>
    <row r="6" customFormat="false" ht="55.5" hidden="false" customHeight="true" outlineLevel="0" collapsed="false">
      <c r="A6" s="5" t="s">
        <v>323</v>
      </c>
      <c r="B6" s="21" t="s">
        <v>324</v>
      </c>
      <c r="C6" s="21" t="s">
        <v>325</v>
      </c>
      <c r="D6" s="21" t="s">
        <v>326</v>
      </c>
      <c r="E6" s="21" t="s">
        <v>327</v>
      </c>
      <c r="F6" s="48" t="n">
        <v>46337</v>
      </c>
      <c r="G6" s="11" t="s">
        <v>322</v>
      </c>
      <c r="H6" s="49"/>
    </row>
    <row r="7" customFormat="false" ht="55.5" hidden="false" customHeight="true" outlineLevel="0" collapsed="false">
      <c r="A7" s="5" t="s">
        <v>328</v>
      </c>
      <c r="B7" s="21" t="s">
        <v>329</v>
      </c>
      <c r="C7" s="21" t="s">
        <v>330</v>
      </c>
      <c r="D7" s="21" t="s">
        <v>331</v>
      </c>
      <c r="E7" s="21" t="s">
        <v>327</v>
      </c>
      <c r="F7" s="48" t="n">
        <v>46337</v>
      </c>
      <c r="G7" s="11" t="s">
        <v>322</v>
      </c>
      <c r="H7" s="49"/>
    </row>
    <row r="8" customFormat="false" ht="55.5" hidden="false" customHeight="true" outlineLevel="0" collapsed="false">
      <c r="A8" s="5" t="s">
        <v>332</v>
      </c>
      <c r="B8" s="21" t="s">
        <v>333</v>
      </c>
      <c r="C8" s="21" t="s">
        <v>334</v>
      </c>
      <c r="D8" s="21" t="s">
        <v>335</v>
      </c>
      <c r="E8" s="21" t="s">
        <v>321</v>
      </c>
      <c r="F8" s="48" t="n">
        <v>46337</v>
      </c>
      <c r="G8" s="11" t="s">
        <v>322</v>
      </c>
      <c r="H8" s="49"/>
    </row>
    <row r="9" customFormat="false" ht="55.5" hidden="false" customHeight="true" outlineLevel="0" collapsed="false">
      <c r="A9" s="5" t="s">
        <v>336</v>
      </c>
      <c r="B9" s="21" t="s">
        <v>337</v>
      </c>
      <c r="C9" s="21" t="s">
        <v>338</v>
      </c>
      <c r="D9" s="21" t="s">
        <v>339</v>
      </c>
      <c r="E9" s="21" t="s">
        <v>321</v>
      </c>
      <c r="F9" s="48" t="n">
        <v>46337</v>
      </c>
      <c r="G9" s="11" t="s">
        <v>322</v>
      </c>
      <c r="H9" s="49"/>
    </row>
    <row r="10" customFormat="false" ht="55.5" hidden="false" customHeight="true" outlineLevel="0" collapsed="false">
      <c r="A10" s="5" t="s">
        <v>340</v>
      </c>
      <c r="B10" s="21" t="s">
        <v>341</v>
      </c>
      <c r="C10" s="21" t="s">
        <v>342</v>
      </c>
      <c r="D10" s="21" t="s">
        <v>343</v>
      </c>
      <c r="E10" s="21" t="s">
        <v>321</v>
      </c>
      <c r="F10" s="48" t="n">
        <v>46337</v>
      </c>
      <c r="G10" s="11" t="s">
        <v>322</v>
      </c>
      <c r="H10" s="49"/>
    </row>
    <row r="11" customFormat="false" ht="55.5" hidden="false" customHeight="true" outlineLevel="0" collapsed="false">
      <c r="A11" s="5" t="s">
        <v>344</v>
      </c>
      <c r="B11" s="21" t="s">
        <v>345</v>
      </c>
      <c r="C11" s="21" t="s">
        <v>346</v>
      </c>
      <c r="D11" s="21" t="s">
        <v>347</v>
      </c>
      <c r="E11" s="21" t="s">
        <v>327</v>
      </c>
      <c r="F11" s="48" t="n">
        <v>46337</v>
      </c>
      <c r="G11" s="11" t="s">
        <v>322</v>
      </c>
      <c r="H11" s="49"/>
    </row>
    <row r="12" customFormat="false" ht="55.5" hidden="false" customHeight="true" outlineLevel="0" collapsed="false">
      <c r="A12" s="5" t="s">
        <v>348</v>
      </c>
      <c r="B12" s="21" t="s">
        <v>349</v>
      </c>
      <c r="C12" s="21" t="s">
        <v>350</v>
      </c>
      <c r="D12" s="21" t="s">
        <v>351</v>
      </c>
      <c r="E12" s="21" t="s">
        <v>321</v>
      </c>
      <c r="F12" s="48" t="n">
        <v>46337</v>
      </c>
      <c r="G12" s="11" t="s">
        <v>322</v>
      </c>
      <c r="H12" s="49"/>
    </row>
    <row r="13" customFormat="false" ht="55.5" hidden="false" customHeight="true" outlineLevel="0" collapsed="false">
      <c r="A13" s="5" t="s">
        <v>352</v>
      </c>
      <c r="B13" s="21" t="s">
        <v>353</v>
      </c>
      <c r="C13" s="21" t="s">
        <v>354</v>
      </c>
      <c r="D13" s="21" t="s">
        <v>355</v>
      </c>
      <c r="E13" s="21" t="s">
        <v>321</v>
      </c>
      <c r="F13" s="48" t="n">
        <v>46352</v>
      </c>
      <c r="G13" s="11" t="s">
        <v>322</v>
      </c>
      <c r="H13" s="49"/>
    </row>
    <row r="14" customFormat="false" ht="55.5" hidden="false" customHeight="true" outlineLevel="0" collapsed="false">
      <c r="A14" s="5" t="s">
        <v>356</v>
      </c>
      <c r="B14" s="21" t="s">
        <v>357</v>
      </c>
      <c r="C14" s="21" t="s">
        <v>358</v>
      </c>
      <c r="D14" s="21" t="s">
        <v>359</v>
      </c>
      <c r="E14" s="21" t="s">
        <v>321</v>
      </c>
      <c r="F14" s="48" t="n">
        <v>46352</v>
      </c>
      <c r="G14" s="11" t="s">
        <v>322</v>
      </c>
      <c r="H14" s="49"/>
    </row>
    <row r="15" customFormat="false" ht="55.5" hidden="false" customHeight="true" outlineLevel="0" collapsed="false">
      <c r="A15" s="5" t="s">
        <v>360</v>
      </c>
      <c r="B15" s="21" t="s">
        <v>361</v>
      </c>
      <c r="C15" s="21" t="s">
        <v>362</v>
      </c>
      <c r="D15" s="21" t="s">
        <v>363</v>
      </c>
      <c r="E15" s="21" t="s">
        <v>321</v>
      </c>
      <c r="F15" s="48" t="n">
        <v>46352</v>
      </c>
      <c r="G15" s="11" t="s">
        <v>322</v>
      </c>
      <c r="H15" s="49"/>
    </row>
    <row r="16" customFormat="false" ht="55.5" hidden="false" customHeight="true" outlineLevel="0" collapsed="false">
      <c r="A16" s="5" t="s">
        <v>364</v>
      </c>
      <c r="B16" s="21" t="s">
        <v>365</v>
      </c>
      <c r="C16" s="21" t="s">
        <v>366</v>
      </c>
      <c r="D16" s="21" t="s">
        <v>367</v>
      </c>
      <c r="E16" s="21" t="s">
        <v>321</v>
      </c>
      <c r="F16" s="48" t="n">
        <v>46349</v>
      </c>
      <c r="G16" s="11" t="s">
        <v>322</v>
      </c>
      <c r="H16" s="49"/>
    </row>
    <row r="17" customFormat="false" ht="55.5" hidden="false" customHeight="true" outlineLevel="0" collapsed="false">
      <c r="A17" s="5" t="s">
        <v>368</v>
      </c>
      <c r="B17" s="21" t="s">
        <v>369</v>
      </c>
      <c r="C17" s="21" t="s">
        <v>370</v>
      </c>
      <c r="D17" s="21" t="s">
        <v>371</v>
      </c>
      <c r="E17" s="21" t="s">
        <v>327</v>
      </c>
      <c r="F17" s="48" t="n">
        <v>46352</v>
      </c>
      <c r="G17" s="11" t="s">
        <v>322</v>
      </c>
      <c r="H17" s="49"/>
    </row>
    <row r="18" customFormat="false" ht="55.5" hidden="false" customHeight="true" outlineLevel="0" collapsed="false">
      <c r="A18" s="5" t="s">
        <v>372</v>
      </c>
      <c r="B18" s="21" t="s">
        <v>373</v>
      </c>
      <c r="C18" s="21" t="s">
        <v>374</v>
      </c>
      <c r="D18" s="21" t="s">
        <v>375</v>
      </c>
      <c r="E18" s="21" t="s">
        <v>321</v>
      </c>
      <c r="F18" s="48" t="n">
        <v>46352</v>
      </c>
      <c r="G18" s="11" t="s">
        <v>322</v>
      </c>
      <c r="H18" s="49"/>
    </row>
    <row r="19" customFormat="false" ht="55.5" hidden="false" customHeight="true" outlineLevel="0" collapsed="false">
      <c r="A19" s="5" t="s">
        <v>376</v>
      </c>
      <c r="B19" s="21" t="s">
        <v>377</v>
      </c>
      <c r="C19" s="21" t="s">
        <v>378</v>
      </c>
      <c r="D19" s="21" t="s">
        <v>379</v>
      </c>
      <c r="E19" s="21" t="s">
        <v>321</v>
      </c>
      <c r="F19" s="48" t="n">
        <v>46352</v>
      </c>
      <c r="G19" s="11" t="s">
        <v>322</v>
      </c>
      <c r="H19" s="49"/>
    </row>
    <row r="20" customFormat="false" ht="55.5" hidden="false" customHeight="true" outlineLevel="0" collapsed="false">
      <c r="A20" s="5" t="s">
        <v>380</v>
      </c>
      <c r="B20" s="21" t="s">
        <v>381</v>
      </c>
      <c r="C20" s="21" t="s">
        <v>382</v>
      </c>
      <c r="D20" s="21" t="s">
        <v>383</v>
      </c>
      <c r="E20" s="21" t="s">
        <v>321</v>
      </c>
      <c r="F20" s="48" t="n">
        <v>46352</v>
      </c>
      <c r="G20" s="11" t="s">
        <v>322</v>
      </c>
      <c r="H20" s="49"/>
    </row>
    <row r="21" customFormat="false" ht="55.5" hidden="false" customHeight="true" outlineLevel="0" collapsed="false">
      <c r="A21" s="5" t="s">
        <v>384</v>
      </c>
      <c r="B21" s="21" t="s">
        <v>385</v>
      </c>
      <c r="C21" s="21" t="s">
        <v>386</v>
      </c>
      <c r="D21" s="21" t="s">
        <v>387</v>
      </c>
      <c r="E21" s="21" t="s">
        <v>321</v>
      </c>
      <c r="F21" s="48" t="n">
        <v>46364</v>
      </c>
      <c r="G21" s="11" t="s">
        <v>322</v>
      </c>
      <c r="H21" s="49"/>
    </row>
    <row r="23" customFormat="false" ht="15" hidden="false" customHeight="false" outlineLevel="0" collapsed="false">
      <c r="B23" s="13" t="s">
        <v>388</v>
      </c>
      <c r="C23" s="13" t="str">
        <f aca="false">IF(COUNTIF(G5:G21,"Klaar")=17,"GO: alles klaar","NO-GO: nog "&amp;(17-COUNTIF(G5:G21,"Klaar"))&amp;" regel(s) open")</f>
        <v>NO-GO: nog 17 regel(s) open</v>
      </c>
    </row>
  </sheetData>
  <conditionalFormatting sqref="G5:G21">
    <cfRule type="cellIs" priority="2" operator="equal" aboveAverage="0" equalAverage="0" bottom="0" percent="0" rank="0" text="" dxfId="0">
      <formula>"Klaar"</formula>
    </cfRule>
    <cfRule type="cellIs" priority="3" operator="equal" aboveAverage="0" equalAverage="0" bottom="0" percent="0" rank="0" text="" dxfId="1">
      <formula>"Geblokkeerd"</formula>
    </cfRule>
  </conditionalFormatting>
  <dataValidations count="1">
    <dataValidation allowBlank="false" errorStyle="stop" operator="between" showDropDown="false" showErrorMessage="false" showInputMessage="false" sqref="G5:G21" type="list">
      <formula1>"Open,Bezig,Klaar,Geblokkeerd"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2026-10-20T22:14:40Z</dcterms:created>
  <dc:creator>openpyxl</dc:creator>
  <dc:description/>
  <dc:language>en-US</dc:language>
  <cp:lastModifiedBy/>
  <dcterms:modified xsi:type="dcterms:W3CDTF">2026-10-20T22:14:40Z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